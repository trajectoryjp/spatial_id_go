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fs\3事本-技術\project\NTTATS_空間ID\10：ドローン空間情報管理システム開発\60：IT\02：結合試験項目書\"/>
    </mc:Choice>
  </mc:AlternateContent>
  <xr:revisionPtr revIDLastSave="0" documentId="13_ncr:1_{6C9532B9-3208-4943-B649-7D7487D05A0D}" xr6:coauthVersionLast="47" xr6:coauthVersionMax="47" xr10:uidLastSave="{00000000-0000-0000-0000-000000000000}"/>
  <bookViews>
    <workbookView xWindow="-120" yWindow="-120" windowWidth="29040" windowHeight="15840" tabRatio="872" xr2:uid="{00000000-000D-0000-FFFF-FFFF00000000}"/>
  </bookViews>
  <sheets>
    <sheet name="表紙" sheetId="15" r:id="rId1"/>
    <sheet name="変更履歴" sheetId="37" r:id="rId2"/>
    <sheet name="集計" sheetId="35" r:id="rId3"/>
    <sheet name="1.結合試験" sheetId="27" r:id="rId4"/>
  </sheets>
  <definedNames>
    <definedName name="_xlnm._FilterDatabase" localSheetId="3" hidden="1">'1.結合試験'!$A$2:$M$23</definedName>
    <definedName name="_xlnm._FilterDatabase" localSheetId="1" hidden="1">#REF!</definedName>
    <definedName name="_xlnm._FilterDatabase" hidden="1">#REF!</definedName>
    <definedName name="HTML_CodePage" hidden="1">1</definedName>
    <definedName name="HTML_Control" localSheetId="1" hidden="1">{"'発注データ送信 確認事項'!$A$1:$D$28"}</definedName>
    <definedName name="HTML_Control" hidden="1">{"'発注データ送信 確認事項'!$A$1:$D$28"}</definedName>
    <definedName name="HTML_Description" hidden="1">""</definedName>
    <definedName name="HTML_Email" hidden="1">""</definedName>
    <definedName name="HTML_Header" hidden="1">"全銀確認事項"</definedName>
    <definedName name="HTML_LastUpdate" hidden="1">"00/03/23"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"C:\MyDocuments\acms.html"</definedName>
    <definedName name="HTML_Title" hidden="1">"全銀確認事項"</definedName>
    <definedName name="Level2ManDays" localSheetId="1">変更履歴!Level2ManDays</definedName>
    <definedName name="Level2ManDays">[0]!Level2ManDays</definedName>
    <definedName name="_xlnm.Print_Area" localSheetId="3">'1.結合試験'!$A$1:$M$24</definedName>
    <definedName name="_xlnm.Print_Area" localSheetId="0">表紙!$A$1:$Z$37</definedName>
    <definedName name="_xlnm.Print_Titles" localSheetId="3">'1.結合試験'!$1:$2</definedName>
    <definedName name="q" localSheetId="1" hidden="1">{"'発注データ送信 確認事項'!$A$1:$D$28"}</definedName>
    <definedName name="q" hidden="1">{"'発注データ送信 確認事項'!$A$1:$D$28"}</definedName>
    <definedName name="Z_D7445B85_74CE_4E1E_92EA_69A1A19161E0_.wvu.PrintArea" localSheetId="0" hidden="1">表紙!$A$1:$Z$29</definedName>
    <definedName name="Z_D81FE437_5A70_4B95_9988_CCF676E08ADD_.wvu.PrintArea" localSheetId="0" hidden="1">表紙!$A$1:$Z$29</definedName>
    <definedName name="Z_FDE9EE51_6A00_4F0D_8742_D96597166ACA_.wvu.PrintArea" localSheetId="0" hidden="1">表紙!$A$1:$Z$29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5" l="1"/>
  <c r="F29" i="27" l="1"/>
  <c r="F28" i="27"/>
  <c r="F27" i="27"/>
  <c r="B20" i="15" l="1"/>
  <c r="A1" i="27" l="1"/>
  <c r="S1" i="27"/>
  <c r="A8" i="27" s="1"/>
  <c r="T3" i="27"/>
  <c r="T4" i="27" s="1"/>
  <c r="T5" i="27" s="1"/>
  <c r="T6" i="27" s="1"/>
  <c r="T7" i="27" s="1"/>
  <c r="T8" i="27" s="1"/>
  <c r="T9" i="27" s="1"/>
  <c r="T10" i="27" s="1"/>
  <c r="T11" i="27" s="1"/>
  <c r="T12" i="27" s="1"/>
  <c r="T13" i="27" s="1"/>
  <c r="T14" i="27" s="1"/>
  <c r="T15" i="27" s="1"/>
  <c r="T16" i="27" s="1"/>
  <c r="T17" i="27" s="1"/>
  <c r="T18" i="27" s="1"/>
  <c r="T19" i="27" s="1"/>
  <c r="T20" i="27" s="1"/>
  <c r="T21" i="27" s="1"/>
  <c r="T22" i="27" s="1"/>
  <c r="T23" i="27" s="1"/>
  <c r="S3" i="27"/>
  <c r="S4" i="27" s="1"/>
  <c r="S5" i="27" s="1"/>
  <c r="S6" i="27" s="1"/>
  <c r="S7" i="27" s="1"/>
  <c r="S8" i="27" s="1"/>
  <c r="S9" i="27" s="1"/>
  <c r="S10" i="27" s="1"/>
  <c r="S11" i="27" s="1"/>
  <c r="S12" i="27" s="1"/>
  <c r="S13" i="27" s="1"/>
  <c r="S14" i="27" s="1"/>
  <c r="S15" i="27" s="1"/>
  <c r="S16" i="27" s="1"/>
  <c r="S17" i="27" s="1"/>
  <c r="S18" i="27" s="1"/>
  <c r="S19" i="27" s="1"/>
  <c r="S20" i="27" s="1"/>
  <c r="S21" i="27" s="1"/>
  <c r="S22" i="27" s="1"/>
  <c r="S23" i="27" s="1"/>
  <c r="R3" i="27"/>
  <c r="R4" i="27" s="1"/>
  <c r="R5" i="27" s="1"/>
  <c r="R6" i="27" s="1"/>
  <c r="R7" i="27" s="1"/>
  <c r="R8" i="27" s="1"/>
  <c r="R9" i="27" s="1"/>
  <c r="R10" i="27" s="1"/>
  <c r="R11" i="27" s="1"/>
  <c r="R12" i="27" s="1"/>
  <c r="R13" i="27" s="1"/>
  <c r="R14" i="27" s="1"/>
  <c r="R15" i="27" s="1"/>
  <c r="R16" i="27" s="1"/>
  <c r="R17" i="27" s="1"/>
  <c r="R18" i="27" s="1"/>
  <c r="R19" i="27" s="1"/>
  <c r="R20" i="27" s="1"/>
  <c r="R21" i="27" s="1"/>
  <c r="R22" i="27" s="1"/>
  <c r="R23" i="27" s="1"/>
  <c r="A23" i="27" l="1"/>
  <c r="A4" i="27"/>
  <c r="A22" i="27"/>
  <c r="A18" i="27"/>
  <c r="A14" i="27"/>
  <c r="A10" i="27"/>
  <c r="A6" i="27"/>
  <c r="A11" i="27"/>
  <c r="A21" i="27"/>
  <c r="A17" i="27"/>
  <c r="A13" i="27"/>
  <c r="A9" i="27"/>
  <c r="A5" i="27"/>
  <c r="A15" i="27"/>
  <c r="A20" i="27"/>
  <c r="A16" i="27"/>
  <c r="A12" i="27"/>
  <c r="M16" i="27" s="1"/>
  <c r="A19" i="27"/>
  <c r="A7" i="27"/>
  <c r="A3" i="27"/>
  <c r="M6" i="27" l="1"/>
  <c r="M7" i="27"/>
  <c r="M5" i="27"/>
  <c r="D10" i="35" a="1"/>
  <c r="D11" i="35" a="1"/>
  <c r="D3" i="35" a="1"/>
  <c r="D9" i="35" a="1"/>
  <c r="D11" i="35" l="1"/>
  <c r="D10" i="35"/>
  <c r="D9" i="35"/>
  <c r="D3" i="35"/>
  <c r="D8" i="35" l="1"/>
  <c r="C3" i="35" s="1"/>
  <c r="C4" i="35" s="1"/>
  <c r="D4" i="35"/>
  <c r="E3" i="35" l="1"/>
  <c r="E4" i="3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<sst xmlns="http://schemas.openxmlformats.org/spreadsheetml/2006/main" count="148" uniqueCount="92">
  <si>
    <t>日時</t>
    <rPh sb="0" eb="2">
      <t>ニチジ</t>
    </rPh>
    <phoneticPr fontId="3"/>
  </si>
  <si>
    <t>版</t>
    <rPh sb="0" eb="1">
      <t>ハン</t>
    </rPh>
    <phoneticPr fontId="3"/>
  </si>
  <si>
    <t>作業者</t>
    <rPh sb="0" eb="3">
      <t>サギョウシャ</t>
    </rPh>
    <phoneticPr fontId="3"/>
  </si>
  <si>
    <t>変更内容</t>
    <rPh sb="0" eb="2">
      <t>ヘンコウ</t>
    </rPh>
    <rPh sb="2" eb="4">
      <t>ナイヨウ</t>
    </rPh>
    <phoneticPr fontId="3"/>
  </si>
  <si>
    <t>No</t>
    <phoneticPr fontId="3"/>
  </si>
  <si>
    <t>大項目</t>
    <rPh sb="0" eb="3">
      <t>ダイコウモク</t>
    </rPh>
    <phoneticPr fontId="3"/>
  </si>
  <si>
    <t>中項目</t>
    <rPh sb="0" eb="1">
      <t>チュウ</t>
    </rPh>
    <rPh sb="1" eb="3">
      <t>コウモク</t>
    </rPh>
    <phoneticPr fontId="3"/>
  </si>
  <si>
    <t>小項目</t>
    <rPh sb="0" eb="3">
      <t>ショウコウモク</t>
    </rPh>
    <phoneticPr fontId="3"/>
  </si>
  <si>
    <t>試験日</t>
    <rPh sb="0" eb="3">
      <t>シケンビ</t>
    </rPh>
    <phoneticPr fontId="3"/>
  </si>
  <si>
    <t>試験者</t>
    <rPh sb="0" eb="2">
      <t>シケン</t>
    </rPh>
    <rPh sb="2" eb="3">
      <t>シャ</t>
    </rPh>
    <phoneticPr fontId="3"/>
  </si>
  <si>
    <t>試験結果</t>
    <rPh sb="0" eb="2">
      <t>シケン</t>
    </rPh>
    <rPh sb="2" eb="4">
      <t>ケッカ</t>
    </rPh>
    <phoneticPr fontId="3"/>
  </si>
  <si>
    <t>全ページ</t>
    <rPh sb="0" eb="1">
      <t>ゼン</t>
    </rPh>
    <phoneticPr fontId="3"/>
  </si>
  <si>
    <t>新規改定</t>
    <rPh sb="0" eb="2">
      <t>シンキ</t>
    </rPh>
    <rPh sb="2" eb="4">
      <t>カイテイ</t>
    </rPh>
    <phoneticPr fontId="3"/>
  </si>
  <si>
    <t>大番号</t>
    <rPh sb="0" eb="3">
      <t>ダイバンゴウ</t>
    </rPh>
    <phoneticPr fontId="3"/>
  </si>
  <si>
    <t>中番号</t>
    <rPh sb="0" eb="1">
      <t>チュウ</t>
    </rPh>
    <rPh sb="1" eb="3">
      <t>バンゴウ</t>
    </rPh>
    <phoneticPr fontId="3"/>
  </si>
  <si>
    <t>小番号</t>
    <rPh sb="0" eb="3">
      <t>ショウバンゴウ</t>
    </rPh>
    <phoneticPr fontId="3"/>
  </si>
  <si>
    <t>シート番号</t>
    <rPh sb="3" eb="5">
      <t>バンゴウ</t>
    </rPh>
    <phoneticPr fontId="3"/>
  </si>
  <si>
    <t>備考</t>
    <rPh sb="0" eb="2">
      <t>ビコウ</t>
    </rPh>
    <phoneticPr fontId="3"/>
  </si>
  <si>
    <t>重複項目</t>
    <rPh sb="0" eb="2">
      <t>チョウフク</t>
    </rPh>
    <rPh sb="2" eb="4">
      <t>コウモク</t>
    </rPh>
    <phoneticPr fontId="3"/>
  </si>
  <si>
    <t>全項目数</t>
    <phoneticPr fontId="3"/>
  </si>
  <si>
    <t>実施済み</t>
    <rPh sb="0" eb="2">
      <t>ジッシ</t>
    </rPh>
    <rPh sb="2" eb="3">
      <t>ズ</t>
    </rPh>
    <phoneticPr fontId="3"/>
  </si>
  <si>
    <t>未実施</t>
    <rPh sb="0" eb="3">
      <t>ミジッシ</t>
    </rPh>
    <phoneticPr fontId="3"/>
  </si>
  <si>
    <t>計</t>
    <rPh sb="0" eb="1">
      <t>ケイ</t>
    </rPh>
    <phoneticPr fontId="3"/>
  </si>
  <si>
    <t>集計</t>
    <rPh sb="0" eb="2">
      <t>シュウケイ</t>
    </rPh>
    <phoneticPr fontId="3"/>
  </si>
  <si>
    <t>試験シート</t>
    <rPh sb="0" eb="2">
      <t>シケン</t>
    </rPh>
    <phoneticPr fontId="3"/>
  </si>
  <si>
    <t>変更箇所</t>
    <rPh sb="0" eb="2">
      <t>ヘンコウ</t>
    </rPh>
    <rPh sb="2" eb="4">
      <t>カショ</t>
    </rPh>
    <phoneticPr fontId="3"/>
  </si>
  <si>
    <t>試験種別</t>
    <rPh sb="0" eb="2">
      <t>シケン</t>
    </rPh>
    <rPh sb="2" eb="4">
      <t>シュベツ</t>
    </rPh>
    <phoneticPr fontId="3"/>
  </si>
  <si>
    <t>試験項目数内訳</t>
    <rPh sb="0" eb="2">
      <t>シケン</t>
    </rPh>
    <rPh sb="2" eb="4">
      <t>コウモク</t>
    </rPh>
    <rPh sb="4" eb="5">
      <t>スウ</t>
    </rPh>
    <rPh sb="5" eb="7">
      <t>ウチワケ</t>
    </rPh>
    <phoneticPr fontId="3"/>
  </si>
  <si>
    <t>全項目数</t>
    <rPh sb="0" eb="1">
      <t>ゼン</t>
    </rPh>
    <rPh sb="1" eb="4">
      <t>コウモクスウ</t>
    </rPh>
    <phoneticPr fontId="3"/>
  </si>
  <si>
    <t>正常</t>
    <phoneticPr fontId="3"/>
  </si>
  <si>
    <t>準正常</t>
    <phoneticPr fontId="3"/>
  </si>
  <si>
    <t>異常</t>
    <rPh sb="0" eb="2">
      <t>イジョウ</t>
    </rPh>
    <phoneticPr fontId="3"/>
  </si>
  <si>
    <t>優先度</t>
    <rPh sb="0" eb="3">
      <t>ユウセンド</t>
    </rPh>
    <phoneticPr fontId="3"/>
  </si>
  <si>
    <t>OK, NG</t>
    <phoneticPr fontId="3"/>
  </si>
  <si>
    <t>α</t>
    <phoneticPr fontId="3"/>
  </si>
  <si>
    <t>正常</t>
  </si>
  <si>
    <t>A</t>
    <phoneticPr fontId="3"/>
  </si>
  <si>
    <t>B</t>
    <phoneticPr fontId="3"/>
  </si>
  <si>
    <t>C</t>
    <phoneticPr fontId="3"/>
  </si>
  <si>
    <t>確認内容</t>
    <rPh sb="0" eb="4">
      <t>カクニンナイヨウ</t>
    </rPh>
    <phoneticPr fontId="3"/>
  </si>
  <si>
    <t>確認手順</t>
    <rPh sb="0" eb="2">
      <t>カクニン</t>
    </rPh>
    <rPh sb="2" eb="4">
      <t>テジュン</t>
    </rPh>
    <phoneticPr fontId="3"/>
  </si>
  <si>
    <t>1.結合試験</t>
    <rPh sb="2" eb="4">
      <t>ケツゴウ</t>
    </rPh>
    <rPh sb="4" eb="6">
      <t>シケン</t>
    </rPh>
    <phoneticPr fontId="3"/>
  </si>
  <si>
    <t>結合試験項目書</t>
    <rPh sb="0" eb="2">
      <t>ケツゴウ</t>
    </rPh>
    <rPh sb="2" eb="4">
      <t>シケン</t>
    </rPh>
    <rPh sb="4" eb="6">
      <t>コウモク</t>
    </rPh>
    <phoneticPr fontId="3"/>
  </si>
  <si>
    <t>共通部-ログ</t>
    <rPh sb="0" eb="3">
      <t>キョウツウブ</t>
    </rPh>
    <phoneticPr fontId="3"/>
  </si>
  <si>
    <t>ログ出力の動作確認</t>
    <phoneticPr fontId="3"/>
  </si>
  <si>
    <t>ログレベルに応じたログが出力確認</t>
    <rPh sb="14" eb="16">
      <t>カクニン</t>
    </rPh>
    <phoneticPr fontId="3"/>
  </si>
  <si>
    <t>ログ出力先のパスが予定通りのパスであること</t>
    <phoneticPr fontId="3"/>
  </si>
  <si>
    <t>ログレベルに応じたログが出力確認</t>
    <phoneticPr fontId="3"/>
  </si>
  <si>
    <t>ログの出力フォーマットが予定通りであること</t>
    <phoneticPr fontId="3"/>
  </si>
  <si>
    <t>第1引数と第2引数の入力に応じたログが出力されること</t>
    <phoneticPr fontId="3"/>
  </si>
  <si>
    <t>第1引数：書式フォーマットでない入力
第2引数：入力なし</t>
    <rPh sb="0" eb="1">
      <t>ダイ</t>
    </rPh>
    <rPh sb="2" eb="4">
      <t>ヒキスウ</t>
    </rPh>
    <rPh sb="5" eb="7">
      <t>ショシキ</t>
    </rPh>
    <rPh sb="16" eb="18">
      <t>ニュウリョク</t>
    </rPh>
    <rPh sb="19" eb="20">
      <t>ダイ</t>
    </rPh>
    <rPh sb="21" eb="23">
      <t>ヒキスウ</t>
    </rPh>
    <rPh sb="24" eb="26">
      <t>ニュウリョク</t>
    </rPh>
    <phoneticPr fontId="3"/>
  </si>
  <si>
    <t>第1引数：書式フォーマットを入力
第2引数：フォーマット対応値1つ</t>
    <rPh sb="0" eb="1">
      <t>ダイ</t>
    </rPh>
    <rPh sb="2" eb="4">
      <t>ヒキスウ</t>
    </rPh>
    <rPh sb="5" eb="7">
      <t>ショシキ</t>
    </rPh>
    <rPh sb="14" eb="16">
      <t>ニュウリョク</t>
    </rPh>
    <rPh sb="17" eb="18">
      <t>ダイ</t>
    </rPh>
    <rPh sb="19" eb="21">
      <t>ヒキスウ</t>
    </rPh>
    <rPh sb="28" eb="30">
      <t>タイオウ</t>
    </rPh>
    <rPh sb="30" eb="31">
      <t>アタイ</t>
    </rPh>
    <phoneticPr fontId="3"/>
  </si>
  <si>
    <t>第1引数：書式フォーマットを入力
第2引数：入力なし</t>
    <rPh sb="0" eb="1">
      <t>ダイ</t>
    </rPh>
    <rPh sb="2" eb="4">
      <t>ヒキスウ</t>
    </rPh>
    <rPh sb="5" eb="7">
      <t>ショシキ</t>
    </rPh>
    <rPh sb="14" eb="16">
      <t>ニュウリョク</t>
    </rPh>
    <rPh sb="17" eb="18">
      <t>ダイ</t>
    </rPh>
    <rPh sb="19" eb="21">
      <t>ヒキスウ</t>
    </rPh>
    <rPh sb="22" eb="24">
      <t>ニュウリョク</t>
    </rPh>
    <phoneticPr fontId="3"/>
  </si>
  <si>
    <t>ログレベル設定：DebugLevel</t>
    <rPh sb="5" eb="7">
      <t>セッテイ</t>
    </rPh>
    <phoneticPr fontId="3"/>
  </si>
  <si>
    <t>ログレベル設定：InfoLevel</t>
    <rPh sb="5" eb="7">
      <t>セッテイ</t>
    </rPh>
    <phoneticPr fontId="3"/>
  </si>
  <si>
    <t>-</t>
    <phoneticPr fontId="3"/>
  </si>
  <si>
    <t>1. "spatial-id/common/logger/logger.go"の定数"logLevel"を以下のように設定。
　-----
　logLevel = debugLevel
　-----
2. 引数に以下を指定して、common.logger.Debugを呼び出す。
　第1引数："LogLevel_Test: %s"
　第2引数："Debug"</t>
    <phoneticPr fontId="3"/>
  </si>
  <si>
    <t>1. "spatial-id/common/logger/logger.go"の定数"logLevel"を以下のように設定。
　-----
　logLevel = infoLevel
　-----
2. 引数に以下を指定して、common.logger.Debugを呼び出す。
　第1引数："LogLevel_Test: %s"
　第2引数："Info"</t>
    <phoneticPr fontId="3"/>
  </si>
  <si>
    <t>・ビルド、実行をしたディレクトリ直下に"log"ディレクトリが作成され、その配下に"spatial.log"が作成されていること。
・ログファイルにはログメッセージが出力されていないこと。</t>
    <rPh sb="83" eb="85">
      <t>シュツリョク</t>
    </rPh>
    <phoneticPr fontId="3"/>
  </si>
  <si>
    <t>・ビルド、実行をしたディレクトリ直下に"log"ディレクトリが作成され、その配下に"spatial.log"が作成されていること。
・ログファイルに以下のログメッセージが出力されていること。
　-----
　LogLevel_Test: Debug
　-----
・出力されたログのフォーマットは以下のようになっていること。
　[YYYY-MM-DD]T[hh:mm:ss.sss]Z DEBUG [logger.DEBUG呼び出し元:行数] [ログメッセージ]
　※[]で囲まれている部分は、日時など可変となる要素</t>
    <rPh sb="5" eb="7">
      <t>ジッコウ</t>
    </rPh>
    <rPh sb="16" eb="18">
      <t>チョッカ</t>
    </rPh>
    <rPh sb="31" eb="33">
      <t>サクセイ</t>
    </rPh>
    <rPh sb="38" eb="40">
      <t>ハイカ</t>
    </rPh>
    <rPh sb="55" eb="57">
      <t>サクセイ</t>
    </rPh>
    <rPh sb="74" eb="76">
      <t>イカ</t>
    </rPh>
    <rPh sb="85" eb="87">
      <t>シュツリョク</t>
    </rPh>
    <rPh sb="133" eb="135">
      <t>シュツリョク</t>
    </rPh>
    <rPh sb="148" eb="150">
      <t>イカ</t>
    </rPh>
    <phoneticPr fontId="3"/>
  </si>
  <si>
    <t>1. 引数に以下を指定して、common.logger.Debugを呼び出す。
　第1引数："LogMessage_Test: %s, %d, %s, %g"
　第2引数："int"
　第3引数：10
　第4引数："float"
　第5引数：10.12345</t>
    <phoneticPr fontId="3"/>
  </si>
  <si>
    <t>・ビルド、実行をしたディレクトリ直下に"log"ディレクトリが作成され、その配下に"spatial.log"が作成されていること。
・ログファイルに以下のログメッセージが出力されていること。
　-----
　LogMessage_Test: int, 10, float, 10.12345
　-----</t>
    <phoneticPr fontId="3"/>
  </si>
  <si>
    <t>1. 引数に以下を指定して、common.logger.Debugを呼び出す。
　第1引数："LogMessage_Test: %s, %d, %s, %g"</t>
    <phoneticPr fontId="3"/>
  </si>
  <si>
    <t>1. 引数に以下を指定して、common.logger.Debugを呼び出す。
　第1引数："LogMessage_Test: Not Format"</t>
    <phoneticPr fontId="3"/>
  </si>
  <si>
    <t>・ビルド、実行をしたディレクトリ直下に"log"ディレクトリが作成され、その配下に"spatial.log"が作成されていること。
・ログファイルに以下のログメッセージが出力されていること。
　-----
　LogMessage_Test: Not Format
　-----</t>
    <phoneticPr fontId="3"/>
  </si>
  <si>
    <t>1. 引数に以下を指定して、common.logger.Debugを呼び出す。
　第1引数："LogMessage_Test: Not Format"
　第2引数："int"
　第3引数：10</t>
    <phoneticPr fontId="3"/>
  </si>
  <si>
    <t>第1引数：書式フォーマットでない入力
第2引数以降：任意の値</t>
    <rPh sb="0" eb="1">
      <t>ダイ</t>
    </rPh>
    <rPh sb="2" eb="4">
      <t>ヒキスウ</t>
    </rPh>
    <rPh sb="5" eb="7">
      <t>ショシキ</t>
    </rPh>
    <rPh sb="16" eb="18">
      <t>ニュウリョク</t>
    </rPh>
    <rPh sb="19" eb="20">
      <t>ダイ</t>
    </rPh>
    <rPh sb="21" eb="23">
      <t>ヒキスウ</t>
    </rPh>
    <rPh sb="23" eb="25">
      <t>イコウ</t>
    </rPh>
    <rPh sb="26" eb="28">
      <t>ニンイ</t>
    </rPh>
    <rPh sb="29" eb="30">
      <t>アタイ</t>
    </rPh>
    <phoneticPr fontId="3"/>
  </si>
  <si>
    <t>第1引数：書式フォーマットを入力
第2引数以降：フォーマット対応値複数</t>
    <rPh sb="0" eb="1">
      <t>ダイ</t>
    </rPh>
    <rPh sb="2" eb="4">
      <t>ヒキスウ</t>
    </rPh>
    <rPh sb="5" eb="7">
      <t>ショシキ</t>
    </rPh>
    <rPh sb="14" eb="16">
      <t>ニュウリョク</t>
    </rPh>
    <rPh sb="17" eb="18">
      <t>ダイ</t>
    </rPh>
    <rPh sb="19" eb="21">
      <t>ヒキスウ</t>
    </rPh>
    <rPh sb="21" eb="23">
      <t>イコウ</t>
    </rPh>
    <rPh sb="30" eb="32">
      <t>タイオウ</t>
    </rPh>
    <rPh sb="32" eb="33">
      <t>アタイ</t>
    </rPh>
    <rPh sb="33" eb="35">
      <t>フクスウ</t>
    </rPh>
    <phoneticPr fontId="3"/>
  </si>
  <si>
    <t>ログ出力先ディレクトリの有無</t>
    <rPh sb="12" eb="14">
      <t>ウム</t>
    </rPh>
    <phoneticPr fontId="3"/>
  </si>
  <si>
    <t>ディレクトリが存在する</t>
    <rPh sb="7" eb="9">
      <t>ソンザイ</t>
    </rPh>
    <phoneticPr fontId="3"/>
  </si>
  <si>
    <t>ディレクトリが存在しない</t>
    <rPh sb="7" eb="9">
      <t>ソンザイ</t>
    </rPh>
    <phoneticPr fontId="3"/>
  </si>
  <si>
    <t>ログ出力先ファイルの有無</t>
    <rPh sb="10" eb="12">
      <t>ウム</t>
    </rPh>
    <phoneticPr fontId="3"/>
  </si>
  <si>
    <t>ファイルが存在する</t>
    <rPh sb="5" eb="7">
      <t>ソンザイ</t>
    </rPh>
    <phoneticPr fontId="3"/>
  </si>
  <si>
    <t>ファイルが存在しない</t>
    <rPh sb="5" eb="7">
      <t>ソンザイ</t>
    </rPh>
    <phoneticPr fontId="3"/>
  </si>
  <si>
    <t>同上</t>
    <rPh sb="0" eb="2">
      <t>ドウジョウ</t>
    </rPh>
    <phoneticPr fontId="3"/>
  </si>
  <si>
    <t>試験用スクリプトの実行ログ出力先ディレクトリ名が、空間IDのログ出力ディレクトリと同名のため、本試験は空間IDログ出力ディレクトリ名を変更して行う。
試験の観点は、出力先が存在している/していない場合の動作確認であるため、ディレクトリ名を変更しても観点を満たす試験は可能。</t>
    <rPh sb="0" eb="3">
      <t>シケンヨウ</t>
    </rPh>
    <rPh sb="9" eb="11">
      <t>ジッコウ</t>
    </rPh>
    <rPh sb="13" eb="15">
      <t>シュツリョク</t>
    </rPh>
    <rPh sb="15" eb="16">
      <t>サキ</t>
    </rPh>
    <rPh sb="22" eb="23">
      <t>メイ</t>
    </rPh>
    <rPh sb="25" eb="27">
      <t>クウカン</t>
    </rPh>
    <rPh sb="32" eb="34">
      <t>シュツリョク</t>
    </rPh>
    <rPh sb="41" eb="43">
      <t>ドウメイ</t>
    </rPh>
    <rPh sb="47" eb="50">
      <t>ホンシケン</t>
    </rPh>
    <rPh sb="51" eb="53">
      <t>クウカン</t>
    </rPh>
    <rPh sb="57" eb="59">
      <t>シュツリョク</t>
    </rPh>
    <rPh sb="65" eb="66">
      <t>メイ</t>
    </rPh>
    <rPh sb="67" eb="69">
      <t>ヘンコウ</t>
    </rPh>
    <rPh sb="71" eb="72">
      <t>オコナ</t>
    </rPh>
    <rPh sb="76" eb="78">
      <t>シケン</t>
    </rPh>
    <rPh sb="79" eb="81">
      <t>カンテン</t>
    </rPh>
    <rPh sb="83" eb="86">
      <t>シュツリョクサキ</t>
    </rPh>
    <rPh sb="87" eb="89">
      <t>ソンザイ</t>
    </rPh>
    <rPh sb="99" eb="101">
      <t>バアイ</t>
    </rPh>
    <rPh sb="102" eb="104">
      <t>ドウサ</t>
    </rPh>
    <rPh sb="104" eb="106">
      <t>カクニン</t>
    </rPh>
    <rPh sb="118" eb="119">
      <t>メイ</t>
    </rPh>
    <rPh sb="120" eb="122">
      <t>ヘンコウ</t>
    </rPh>
    <rPh sb="125" eb="127">
      <t>カンテン</t>
    </rPh>
    <rPh sb="128" eb="129">
      <t>ミ</t>
    </rPh>
    <rPh sb="131" eb="133">
      <t>シケン</t>
    </rPh>
    <rPh sb="134" eb="136">
      <t>カノウ</t>
    </rPh>
    <phoneticPr fontId="3"/>
  </si>
  <si>
    <t>1. "spatial-id/common/logger/logger.go"の定数"変数"を以下のように設定。
　-----
　logDirName = "spatial_log"
　-----
2. 試験を実行するディレクトリ直下に、手順1で設定した名前のディレクトリを作成。
3. 引数に以下を指定して、common.logger.Debugを呼び出す。
　第1引数："LogDir_Test: %s"
　第2引数："exist"</t>
    <rPh sb="43" eb="45">
      <t>ヘンスウ</t>
    </rPh>
    <rPh sb="102" eb="104">
      <t>シケン</t>
    </rPh>
    <rPh sb="105" eb="107">
      <t>ジッコウ</t>
    </rPh>
    <rPh sb="115" eb="117">
      <t>チョッカ</t>
    </rPh>
    <rPh sb="119" eb="121">
      <t>テジュン</t>
    </rPh>
    <rPh sb="123" eb="125">
      <t>セッテイ</t>
    </rPh>
    <rPh sb="127" eb="129">
      <t>ナマエ</t>
    </rPh>
    <rPh sb="137" eb="139">
      <t>サクセイ</t>
    </rPh>
    <phoneticPr fontId="3"/>
  </si>
  <si>
    <t>・ビルド、実行をしたディレクトリ直下にある"spatial_log"ディレクトリ配下に"spatial.log"が作成されていること。
・ログファイルに以下のログメッセージが出力されていること。
　-----
　LogDir_Test: exist
　-----</t>
    <phoneticPr fontId="3"/>
  </si>
  <si>
    <t>1. "spatial-id/common/logger/logger.go"の定数"変数"を以下のように設定。
　-----
　logDirName = "spatial_log"
　-----
2. 試験を実行するディレクトリ直下に、手順1で設定した名前のディレクトリが存在しないことを確認
3. 引数に以下を指定して、common.logger.Debugを呼び出す。
　第1引数："LogDir_Test: %s"
　第2引数："not exist"</t>
    <rPh sb="43" eb="45">
      <t>ヘンスウ</t>
    </rPh>
    <rPh sb="102" eb="104">
      <t>シケン</t>
    </rPh>
    <rPh sb="105" eb="107">
      <t>ジッコウ</t>
    </rPh>
    <rPh sb="115" eb="117">
      <t>チョッカ</t>
    </rPh>
    <rPh sb="119" eb="121">
      <t>テジュン</t>
    </rPh>
    <rPh sb="123" eb="125">
      <t>セッテイ</t>
    </rPh>
    <rPh sb="127" eb="129">
      <t>ナマエ</t>
    </rPh>
    <rPh sb="137" eb="139">
      <t>ソンザイ</t>
    </rPh>
    <rPh sb="145" eb="147">
      <t>カクニン</t>
    </rPh>
    <phoneticPr fontId="3"/>
  </si>
  <si>
    <t>・ビルド、実行をしたディレクトリ直下に"spatial_log"ディレクトリが作成され、その配下に"spatial.log"が作成されていること。
・ログファイルに以下のログメッセージが出力されていること。
　-----
　LogDir_Test: not exist
　-----</t>
    <phoneticPr fontId="3"/>
  </si>
  <si>
    <t>1. "spatial-id/common/logger/logger.go"の定数"変数"を以下のように設定。
　-----
　logDirName = "spatial_log"
　-----
2. 試験を実行するディレクトリ直下に、手順1で設定した名前のディレクトリを作成。
3. 手順2で作成したディレクトリ直下に、"spatial.log"を作成し、ファイル内に以下を記載
　-----
　Before_Test
　-----
4. 引数に以下を指定して、common.logger.Debugを呼び出す。
　第1引数："LogFile_Test: %s"
　第2引数："exist"</t>
    <rPh sb="43" eb="45">
      <t>ヘンスウ</t>
    </rPh>
    <rPh sb="176" eb="178">
      <t>サクセイ</t>
    </rPh>
    <rPh sb="184" eb="185">
      <t>ナイ</t>
    </rPh>
    <rPh sb="186" eb="188">
      <t>イカ</t>
    </rPh>
    <rPh sb="189" eb="191">
      <t>キサイ</t>
    </rPh>
    <phoneticPr fontId="3"/>
  </si>
  <si>
    <t>・ビルド、実行をしたディレクトリ直下にある"spatial_log"ディレクトリ配下に"spatial.log"が存在していること。
・試験実行前に"spatial.log"に記載されていた内容が残っていること。
・ログファイルに以下のログメッセージが出力されていること。
　-----
　LogFile_Test: exist
　-----</t>
    <rPh sb="57" eb="59">
      <t>ソンザイ</t>
    </rPh>
    <rPh sb="88" eb="90">
      <t>キサイ</t>
    </rPh>
    <rPh sb="95" eb="97">
      <t>ナイヨウ</t>
    </rPh>
    <rPh sb="98" eb="99">
      <t>ノコ</t>
    </rPh>
    <phoneticPr fontId="3"/>
  </si>
  <si>
    <t>ログ出力の動作確認</t>
  </si>
  <si>
    <t>ディレクトリと同名のファイルが存在する</t>
    <rPh sb="7" eb="9">
      <t>ドウメイ</t>
    </rPh>
    <rPh sb="15" eb="17">
      <t>ソンザイ</t>
    </rPh>
    <phoneticPr fontId="3"/>
  </si>
  <si>
    <t>1. "spatial-id/common/logger/logger.go"の定数"変数"を以下のように設定。
　-----
　logDirName = "spatial_log"
　-----
2. 試験を実行するディレクトリ直下に、手順1で設定した名前のファイルを作成。
3. 引数に以下を指定して、common.logger.Debugを呼び出す。
　第1引数："LogDir_Test: %s"
　第2引数："file exist"</t>
    <phoneticPr fontId="3"/>
  </si>
  <si>
    <t>・手順2で作成したファイルが変更されずに存在していること。
・ログディレクトリ、ログファイルは作成されず、エラーにはならないこと
・以下のメッセージが標準出力されていること
　-----
　ログディレクトリと同名のファイルが存在するため、ログが出力されません。
　ログディレクトリ名：[ログディレクトリ名]
　-----</t>
    <rPh sb="1" eb="3">
      <t>テジュン</t>
    </rPh>
    <rPh sb="5" eb="7">
      <t>サクセイ</t>
    </rPh>
    <rPh sb="14" eb="16">
      <t>ヘンコウ</t>
    </rPh>
    <rPh sb="20" eb="22">
      <t>ソンザイ</t>
    </rPh>
    <rPh sb="47" eb="49">
      <t>サクセイ</t>
    </rPh>
    <rPh sb="66" eb="68">
      <t>イカ</t>
    </rPh>
    <rPh sb="75" eb="79">
      <t>ヒョウジュンシュツリョク</t>
    </rPh>
    <rPh sb="151" eb="152">
      <t>メイ</t>
    </rPh>
    <phoneticPr fontId="3"/>
  </si>
  <si>
    <t>石垣</t>
    <rPh sb="0" eb="2">
      <t>イシガキ</t>
    </rPh>
    <phoneticPr fontId="3"/>
  </si>
  <si>
    <t>OK</t>
    <phoneticPr fontId="3"/>
  </si>
  <si>
    <t>1.結合試験</t>
    <phoneticPr fontId="3"/>
  </si>
  <si>
    <t>確認内容の記載が誤っていたため修正
No.共通部-ログ-結合-01-01-04-003
修正前： LogMessage_Test: %s, %d, %s, %g
修正後： LogMessage_Test: %!s(MISSING), %!d(MISSING), %!s(MISSING), %!g(MISSING)}
No.共通部-ログ-結合-01-01-04-005
修正前： LogMessage_Test: Not Format
修正後： LogMessage_Test: Not Format    %!(EXTRA string=int, int=10)</t>
    <rPh sb="0" eb="4">
      <t>カクニンナイヨウ</t>
    </rPh>
    <rPh sb="5" eb="7">
      <t>キサイ</t>
    </rPh>
    <rPh sb="8" eb="9">
      <t>アヤマ</t>
    </rPh>
    <rPh sb="15" eb="17">
      <t>シュウセイ</t>
    </rPh>
    <rPh sb="22" eb="24">
      <t>キョウツウ</t>
    </rPh>
    <rPh sb="45" eb="48">
      <t>シュウセイマエ</t>
    </rPh>
    <rPh sb="82" eb="85">
      <t>シュウセイゴ</t>
    </rPh>
    <phoneticPr fontId="3"/>
  </si>
  <si>
    <t>・ビルド、実行をしたディレクトリ直下に"log"ディレクトリが作成され、その配下に"spatial.log"が作成されていること。
・ログファイルに以下のログメッセージが出力されていること。
　-----
　LogMessage_Test: %!s(MISSING), %!d(MISSING), %!s(MISSING), %!g(MISSING)}
　-----</t>
    <phoneticPr fontId="3"/>
  </si>
  <si>
    <t>・ビルド、実行をしたディレクトリ直下に"log"ディレクトリが作成され、その配下に"spatial.log"が作成されていること。
・ログファイルに以下のログメッセージが出力されていること。
　-----
　修正後： LogMessage_Test: Not Format    %!(EXTRA string=int, int=10)
　-----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</si>
</sst>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m/d"/>
    <numFmt numFmtId="177" formatCode="#,##0;\-#,##0;&quot;-&quot;"/>
    <numFmt numFmtId="178" formatCode="[$-411]ggge&quot;年&quot;m&quot;月&quot;d&quot;日&quot;;@"/>
    <numFmt numFmtId="179" formatCode="0.00_ "/>
    <numFmt numFmtId="180" formatCode="&quot;$&quot;#,##0_);\(&quot;$&quot;#,##0\)"/>
    <numFmt numFmtId="181" formatCode="&quot;¥&quot;&quot;¥&quot;&quot;¥&quot;&quot;¥&quot;&quot;¥&quot;&quot;¥&quot;&quot;¥&quot;\$#,##0_);[Red]&quot;¥&quot;&quot;¥&quot;&quot;¥&quot;&quot;¥&quot;&quot;¥&quot;&quot;¥&quot;&quot;¥&quot;\(&quot;¥&quot;&quot;¥&quot;&quot;¥&quot;&quot;¥&quot;&quot;¥&quot;&quot;¥&quot;&quot;¥&quot;\$#,##0&quot;¥&quot;&quot;¥&quot;&quot;¥&quot;&quot;¥&quot;&quot;¥&quot;&quot;¥&quot;&quot;¥&quot;\)"/>
    <numFmt numFmtId="182" formatCode="&quot;$&quot;#,##0_);[Red]\(&quot;$&quot;#,##0\)"/>
    <numFmt numFmtId="183" formatCode="&quot;$&quot;#,##0.00_);[Red]\(&quot;$&quot;#,##0.00\)"/>
    <numFmt numFmtId="184" formatCode="_ * #,##0_ ;_ * &quot;¥&quot;&quot;¥&quot;&quot;¥&quot;&quot;¥&quot;&quot;¥&quot;&quot;¥&quot;\-#,##0_ ;_ * &quot;-&quot;_ ;_ @_ "/>
    <numFmt numFmtId="185" formatCode="_ * #,##0.00_ ;_ * &quot;¥&quot;&quot;¥&quot;&quot;¥&quot;&quot;¥&quot;&quot;¥&quot;&quot;¥&quot;\-#,##0.00_ ;_ * &quot;-&quot;??_ ;_ @_ "/>
    <numFmt numFmtId="186" formatCode="0.00_)"/>
    <numFmt numFmtId="187" formatCode="#,##0_ ;[Red]\-#,##0\ "/>
    <numFmt numFmtId="188" formatCode="0_ ;[Red]\-0\ "/>
    <numFmt numFmtId="189" formatCode="0_);\(0\)"/>
    <numFmt numFmtId="190" formatCode="#,##0_ "/>
    <numFmt numFmtId="191" formatCode="[$-F800]dddd\,\ mmmm\ dd\,\ yyyy"/>
  </numFmts>
  <fonts count="3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8"/>
      <name val="ＭＳ 明朝"/>
      <family val="1"/>
      <charset val="128"/>
    </font>
    <font>
      <sz val="11"/>
      <name val="ＭＳ 明朝"/>
      <family val="1"/>
      <charset val="128"/>
    </font>
    <font>
      <b/>
      <sz val="22"/>
      <name val="ＭＳ 明朝"/>
      <family val="1"/>
      <charset val="128"/>
    </font>
    <font>
      <b/>
      <sz val="24"/>
      <name val="ＭＳ 明朝"/>
      <family val="1"/>
      <charset val="128"/>
    </font>
    <font>
      <sz val="18"/>
      <name val="ＭＳ 明朝"/>
      <family val="1"/>
      <charset val="128"/>
    </font>
    <font>
      <sz val="14"/>
      <name val="ＭＳ 明朝"/>
      <family val="1"/>
      <charset val="128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ＭＳ 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b/>
      <i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9"/>
      <color theme="1"/>
      <name val="ＭＳ Ｐゴシック"/>
      <family val="2"/>
      <charset val="128"/>
      <scheme val="minor"/>
    </font>
    <font>
      <b/>
      <sz val="1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lightGray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180" fontId="20" fillId="0" borderId="1" applyAlignment="0" applyProtection="0"/>
    <xf numFmtId="177" fontId="7" fillId="0" borderId="0" applyFill="0" applyBorder="0" applyAlignment="0"/>
    <xf numFmtId="38" fontId="21" fillId="0" borderId="0" applyFont="0" applyFill="0" applyBorder="0" applyAlignment="0" applyProtection="0"/>
    <xf numFmtId="181" fontId="22" fillId="0" borderId="0"/>
    <xf numFmtId="182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4" fontId="22" fillId="0" borderId="0"/>
    <xf numFmtId="185" fontId="22" fillId="0" borderId="0"/>
    <xf numFmtId="0" fontId="8" fillId="0" borderId="0">
      <alignment horizontal="left"/>
    </xf>
    <xf numFmtId="38" fontId="23" fillId="2" borderId="0" applyNumberFormat="0" applyBorder="0" applyAlignment="0" applyProtection="0"/>
    <xf numFmtId="0" fontId="9" fillId="0" borderId="2" applyNumberFormat="0" applyAlignment="0" applyProtection="0">
      <alignment horizontal="left" vertical="center"/>
    </xf>
    <xf numFmtId="0" fontId="9" fillId="0" borderId="3">
      <alignment horizontal="left" vertical="center"/>
    </xf>
    <xf numFmtId="10" fontId="23" fillId="3" borderId="4" applyNumberFormat="0" applyBorder="0" applyAlignment="0" applyProtection="0"/>
    <xf numFmtId="186" fontId="24" fillId="0" borderId="0"/>
    <xf numFmtId="0" fontId="10" fillId="0" borderId="0"/>
    <xf numFmtId="10" fontId="10" fillId="0" borderId="0" applyFont="0" applyFill="0" applyBorder="0" applyAlignment="0" applyProtection="0"/>
    <xf numFmtId="4" fontId="8" fillId="0" borderId="0">
      <alignment horizontal="right"/>
    </xf>
    <xf numFmtId="0" fontId="21" fillId="0" borderId="0" applyNumberFormat="0" applyFont="0" applyFill="0" applyBorder="0" applyAlignment="0" applyProtection="0">
      <alignment horizontal="left"/>
    </xf>
    <xf numFmtId="0" fontId="20" fillId="0" borderId="5">
      <alignment horizontal="center"/>
    </xf>
    <xf numFmtId="4" fontId="11" fillId="0" borderId="0">
      <alignment horizontal="right"/>
    </xf>
    <xf numFmtId="0" fontId="12" fillId="0" borderId="0">
      <alignment horizontal="left"/>
    </xf>
    <xf numFmtId="0" fontId="13" fillId="0" borderId="0">
      <alignment horizontal="center"/>
    </xf>
    <xf numFmtId="187" fontId="4" fillId="0" borderId="0" applyBorder="0">
      <alignment horizontal="right"/>
    </xf>
    <xf numFmtId="49" fontId="1" fillId="0" borderId="0" applyFont="0"/>
    <xf numFmtId="188" fontId="4" fillId="0" borderId="0" applyFill="0" applyBorder="0"/>
    <xf numFmtId="187" fontId="4" fillId="0" borderId="0" applyFill="0" applyBorder="0"/>
    <xf numFmtId="189" fontId="4" fillId="0" borderId="0" applyBorder="0">
      <alignment horizontal="left"/>
    </xf>
    <xf numFmtId="49" fontId="4" fillId="4" borderId="6">
      <alignment horizontal="center"/>
    </xf>
    <xf numFmtId="190" fontId="4" fillId="4" borderId="6">
      <alignment horizontal="right"/>
    </xf>
    <xf numFmtId="14" fontId="4" fillId="4" borderId="0" applyBorder="0">
      <alignment horizontal="center"/>
    </xf>
    <xf numFmtId="49" fontId="4" fillId="0" borderId="6"/>
    <xf numFmtId="14" fontId="4" fillId="0" borderId="7" applyBorder="0">
      <alignment horizontal="left"/>
    </xf>
    <xf numFmtId="14" fontId="4" fillId="0" borderId="0" applyFill="0" applyBorder="0"/>
    <xf numFmtId="0" fontId="1" fillId="0" borderId="0"/>
    <xf numFmtId="0" fontId="26" fillId="0" borderId="0">
      <alignment vertical="center"/>
    </xf>
    <xf numFmtId="0" fontId="1" fillId="0" borderId="0">
      <alignment vertical="center"/>
    </xf>
    <xf numFmtId="49" fontId="4" fillId="0" borderId="0"/>
    <xf numFmtId="0" fontId="19" fillId="0" borderId="0"/>
    <xf numFmtId="0" fontId="25" fillId="5" borderId="0">
      <alignment horizontal="center"/>
    </xf>
    <xf numFmtId="0" fontId="1" fillId="0" borderId="0"/>
    <xf numFmtId="0" fontId="1" fillId="0" borderId="0"/>
    <xf numFmtId="0" fontId="27" fillId="0" borderId="0"/>
    <xf numFmtId="0" fontId="28" fillId="0" borderId="0">
      <alignment vertical="center"/>
    </xf>
  </cellStyleXfs>
  <cellXfs count="102">
    <xf numFmtId="0" fontId="0" fillId="0" borderId="0" xfId="0"/>
    <xf numFmtId="14" fontId="2" fillId="0" borderId="0" xfId="0" applyNumberFormat="1" applyFont="1" applyAlignment="1">
      <alignment horizontal="center" vertical="center"/>
    </xf>
    <xf numFmtId="0" fontId="14" fillId="4" borderId="0" xfId="36" applyFont="1" applyFill="1" applyBorder="1" applyAlignment="1">
      <alignment horizontal="center" vertical="top" wrapText="1"/>
    </xf>
    <xf numFmtId="0" fontId="14" fillId="4" borderId="9" xfId="36" applyFont="1" applyFill="1" applyBorder="1" applyAlignment="1">
      <alignment horizontal="center" vertical="center" wrapText="1"/>
    </xf>
    <xf numFmtId="0" fontId="14" fillId="4" borderId="9" xfId="36" applyFont="1" applyFill="1" applyBorder="1" applyAlignment="1">
      <alignment horizontal="center" vertical="top" wrapText="1"/>
    </xf>
    <xf numFmtId="0" fontId="14" fillId="4" borderId="9" xfId="36" applyFont="1" applyFill="1" applyBorder="1" applyAlignment="1">
      <alignment vertical="top" wrapText="1"/>
    </xf>
    <xf numFmtId="14" fontId="14" fillId="4" borderId="9" xfId="36" applyNumberFormat="1" applyFont="1" applyFill="1" applyBorder="1" applyAlignment="1">
      <alignment horizontal="left" vertical="center" wrapText="1"/>
    </xf>
    <xf numFmtId="0" fontId="14" fillId="4" borderId="0" xfId="36" applyFont="1" applyFill="1" applyBorder="1" applyAlignment="1">
      <alignment vertical="top" wrapText="1"/>
    </xf>
    <xf numFmtId="0" fontId="14" fillId="4" borderId="0" xfId="36" applyFont="1" applyFill="1" applyBorder="1" applyAlignment="1">
      <alignment horizontal="center" vertical="center" wrapText="1"/>
    </xf>
    <xf numFmtId="14" fontId="14" fillId="4" borderId="0" xfId="36" applyNumberFormat="1" applyFont="1" applyFill="1" applyBorder="1" applyAlignment="1">
      <alignment horizontal="left" vertical="center" wrapText="1"/>
    </xf>
    <xf numFmtId="176" fontId="14" fillId="4" borderId="0" xfId="36" applyNumberFormat="1" applyFont="1" applyFill="1" applyBorder="1" applyAlignment="1">
      <alignment horizontal="center" vertical="top" wrapText="1"/>
    </xf>
    <xf numFmtId="57" fontId="14" fillId="4" borderId="0" xfId="36" applyNumberFormat="1" applyFont="1" applyFill="1" applyBorder="1" applyAlignment="1">
      <alignment horizontal="center" vertical="top" wrapText="1"/>
    </xf>
    <xf numFmtId="0" fontId="14" fillId="4" borderId="0" xfId="34" applyFont="1" applyFill="1" applyBorder="1" applyAlignment="1">
      <alignment horizontal="center" vertical="top" wrapText="1"/>
    </xf>
    <xf numFmtId="0" fontId="14" fillId="4" borderId="0" xfId="34" applyFont="1" applyFill="1" applyBorder="1" applyAlignment="1">
      <alignment horizontal="left" vertical="top" wrapText="1"/>
    </xf>
    <xf numFmtId="0" fontId="15" fillId="4" borderId="0" xfId="34" applyFont="1" applyFill="1" applyBorder="1" applyAlignment="1">
      <alignment vertical="top" wrapText="1"/>
    </xf>
    <xf numFmtId="14" fontId="14" fillId="4" borderId="0" xfId="36" applyNumberFormat="1" applyFont="1" applyFill="1" applyBorder="1" applyAlignment="1">
      <alignment horizontal="center" vertical="center" wrapText="1"/>
    </xf>
    <xf numFmtId="0" fontId="16" fillId="4" borderId="0" xfId="34" applyFont="1" applyFill="1" applyBorder="1" applyAlignment="1">
      <alignment vertical="center" wrapText="1"/>
    </xf>
    <xf numFmtId="0" fontId="14" fillId="4" borderId="0" xfId="34" applyFont="1" applyFill="1" applyBorder="1" applyAlignment="1">
      <alignment vertical="top" wrapText="1"/>
    </xf>
    <xf numFmtId="0" fontId="14" fillId="4" borderId="0" xfId="36" applyFont="1" applyFill="1" applyBorder="1" applyAlignment="1">
      <alignment vertical="top"/>
    </xf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6" borderId="0" xfId="0" applyFont="1" applyFill="1"/>
    <xf numFmtId="0" fontId="2" fillId="6" borderId="4" xfId="0" applyFont="1" applyFill="1" applyBorder="1" applyAlignment="1">
      <alignment horizontal="left" vertical="top" wrapText="1"/>
    </xf>
    <xf numFmtId="14" fontId="2" fillId="6" borderId="8" xfId="0" applyNumberFormat="1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top" wrapText="1"/>
    </xf>
    <xf numFmtId="0" fontId="2" fillId="6" borderId="8" xfId="0" applyFont="1" applyFill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30" fillId="0" borderId="0" xfId="0" applyFont="1"/>
    <xf numFmtId="0" fontId="0" fillId="0" borderId="8" xfId="0" applyBorder="1" applyAlignment="1">
      <alignment vertical="top" wrapText="1"/>
    </xf>
    <xf numFmtId="0" fontId="14" fillId="4" borderId="0" xfId="36" applyFont="1" applyFill="1" applyAlignment="1">
      <alignment vertical="top" wrapText="1"/>
    </xf>
    <xf numFmtId="178" fontId="15" fillId="0" borderId="4" xfId="36" applyNumberFormat="1" applyFont="1" applyBorder="1">
      <alignment vertical="center"/>
    </xf>
    <xf numFmtId="179" fontId="15" fillId="0" borderId="4" xfId="36" applyNumberFormat="1" applyFont="1" applyBorder="1" applyAlignment="1">
      <alignment horizontal="center" vertical="center"/>
    </xf>
    <xf numFmtId="0" fontId="15" fillId="0" borderId="4" xfId="36" applyFont="1" applyBorder="1">
      <alignment vertical="center"/>
    </xf>
    <xf numFmtId="0" fontId="2" fillId="6" borderId="10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2" fillId="0" borderId="11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16" xfId="0" applyBorder="1" applyAlignment="1">
      <alignment horizontal="right"/>
    </xf>
    <xf numFmtId="0" fontId="29" fillId="7" borderId="11" xfId="0" applyFont="1" applyFill="1" applyBorder="1" applyAlignment="1">
      <alignment horizontal="center" vertical="center" wrapText="1"/>
    </xf>
    <xf numFmtId="0" fontId="29" fillId="7" borderId="10" xfId="0" applyFont="1" applyFill="1" applyBorder="1" applyAlignment="1">
      <alignment horizontal="center" vertical="center" wrapText="1"/>
    </xf>
    <xf numFmtId="0" fontId="29" fillId="7" borderId="19" xfId="0" applyFont="1" applyFill="1" applyBorder="1" applyAlignment="1">
      <alignment horizontal="center" vertical="center" wrapText="1"/>
    </xf>
    <xf numFmtId="0" fontId="15" fillId="7" borderId="4" xfId="36" applyFont="1" applyFill="1" applyBorder="1">
      <alignment vertical="center"/>
    </xf>
    <xf numFmtId="0" fontId="15" fillId="7" borderId="4" xfId="36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14" fontId="5" fillId="7" borderId="13" xfId="0" applyNumberFormat="1" applyFont="1" applyFill="1" applyBorder="1" applyAlignment="1">
      <alignment horizontal="center" vertical="center"/>
    </xf>
    <xf numFmtId="0" fontId="5" fillId="7" borderId="13" xfId="0" applyNumberFormat="1" applyFont="1" applyFill="1" applyBorder="1" applyAlignment="1">
      <alignment horizontal="center" vertical="center" wrapText="1"/>
    </xf>
    <xf numFmtId="191" fontId="15" fillId="0" borderId="4" xfId="36" applyNumberFormat="1" applyFont="1" applyBorder="1">
      <alignment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4" fontId="2" fillId="0" borderId="31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5" fillId="0" borderId="4" xfId="36" applyFont="1" applyBorder="1" applyAlignment="1">
      <alignment vertical="center" wrapText="1"/>
    </xf>
    <xf numFmtId="0" fontId="14" fillId="4" borderId="9" xfId="36" applyFont="1" applyFill="1" applyBorder="1" applyAlignment="1">
      <alignment horizontal="center" vertical="center" wrapText="1"/>
    </xf>
    <xf numFmtId="0" fontId="14" fillId="4" borderId="0" xfId="36" applyFont="1" applyFill="1" applyBorder="1" applyAlignment="1">
      <alignment horizontal="center" vertical="center" wrapText="1"/>
    </xf>
    <xf numFmtId="0" fontId="14" fillId="4" borderId="9" xfId="36" applyFont="1" applyFill="1" applyBorder="1" applyAlignment="1">
      <alignment vertical="center" wrapText="1"/>
    </xf>
    <xf numFmtId="0" fontId="14" fillId="4" borderId="0" xfId="36" applyFont="1" applyFill="1" applyBorder="1" applyAlignment="1">
      <alignment vertical="center" wrapText="1"/>
    </xf>
    <xf numFmtId="0" fontId="14" fillId="4" borderId="0" xfId="36" applyFont="1" applyFill="1" applyBorder="1" applyAlignment="1">
      <alignment horizontal="left" vertical="top" wrapText="1"/>
    </xf>
    <xf numFmtId="0" fontId="15" fillId="4" borderId="0" xfId="34" applyFont="1" applyFill="1" applyBorder="1" applyAlignment="1">
      <alignment horizontal="left" vertical="top" wrapText="1"/>
    </xf>
    <xf numFmtId="0" fontId="16" fillId="0" borderId="0" xfId="34" applyFont="1" applyFill="1" applyBorder="1" applyAlignment="1">
      <alignment horizontal="center" vertical="center" wrapText="1"/>
    </xf>
    <xf numFmtId="191" fontId="18" fillId="4" borderId="0" xfId="34" applyNumberFormat="1" applyFont="1" applyFill="1" applyBorder="1" applyAlignment="1">
      <alignment horizontal="center" vertical="center" wrapText="1"/>
    </xf>
    <xf numFmtId="0" fontId="17" fillId="4" borderId="0" xfId="34" applyFont="1" applyFill="1" applyBorder="1" applyAlignment="1">
      <alignment horizontal="center" vertical="center" wrapText="1"/>
    </xf>
    <xf numFmtId="0" fontId="16" fillId="4" borderId="0" xfId="34" applyFont="1" applyFill="1" applyBorder="1" applyAlignment="1">
      <alignment horizontal="center" vertical="center" wrapText="1"/>
    </xf>
    <xf numFmtId="0" fontId="18" fillId="4" borderId="0" xfId="34" applyFont="1" applyFill="1" applyBorder="1" applyAlignment="1">
      <alignment horizontal="center" vertical="center" wrapText="1"/>
    </xf>
    <xf numFmtId="0" fontId="31" fillId="7" borderId="11" xfId="0" applyFont="1" applyFill="1" applyBorder="1" applyAlignment="1">
      <alignment vertical="top" wrapText="1"/>
    </xf>
    <xf numFmtId="0" fontId="31" fillId="7" borderId="10" xfId="0" applyFont="1" applyFill="1" applyBorder="1" applyAlignment="1">
      <alignment vertical="top" wrapText="1"/>
    </xf>
    <xf numFmtId="0" fontId="31" fillId="7" borderId="19" xfId="0" applyFont="1" applyFill="1" applyBorder="1" applyAlignment="1">
      <alignment vertical="top" wrapText="1"/>
    </xf>
    <xf numFmtId="0" fontId="31" fillId="7" borderId="20" xfId="0" applyFont="1" applyFill="1" applyBorder="1" applyAlignment="1">
      <alignment vertical="top" wrapText="1"/>
    </xf>
    <xf numFmtId="0" fontId="31" fillId="7" borderId="17" xfId="0" applyFont="1" applyFill="1" applyBorder="1" applyAlignment="1">
      <alignment vertical="top" wrapText="1"/>
    </xf>
    <xf numFmtId="0" fontId="31" fillId="7" borderId="21" xfId="0" applyFont="1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0" xfId="0" applyBorder="1" applyAlignment="1">
      <alignment vertical="top" wrapText="1"/>
    </xf>
  </cellXfs>
  <cellStyles count="44">
    <cellStyle name="Border" xfId="1" xr:uid="{00000000-0005-0000-0000-000000000000}"/>
    <cellStyle name="Calc Currency (0)" xfId="2" xr:uid="{00000000-0005-0000-0000-000001000000}"/>
    <cellStyle name="Comma [0]" xfId="3" xr:uid="{00000000-0005-0000-0000-000002000000}"/>
    <cellStyle name="comma zerodec" xfId="4" xr:uid="{00000000-0005-0000-0000-000003000000}"/>
    <cellStyle name="Currency [0]" xfId="5" xr:uid="{00000000-0005-0000-0000-000004000000}"/>
    <cellStyle name="Currency_laroux" xfId="6" xr:uid="{00000000-0005-0000-0000-000005000000}"/>
    <cellStyle name="Currency1" xfId="7" xr:uid="{00000000-0005-0000-0000-000006000000}"/>
    <cellStyle name="Dollar (zero dec)" xfId="8" xr:uid="{00000000-0005-0000-0000-000007000000}"/>
    <cellStyle name="entry" xfId="9" xr:uid="{00000000-0005-0000-0000-000008000000}"/>
    <cellStyle name="Grey" xfId="10" xr:uid="{00000000-0005-0000-0000-000009000000}"/>
    <cellStyle name="Header1" xfId="11" xr:uid="{00000000-0005-0000-0000-00000A000000}"/>
    <cellStyle name="Header2" xfId="12" xr:uid="{00000000-0005-0000-0000-00000B000000}"/>
    <cellStyle name="Input [yellow]" xfId="13" xr:uid="{00000000-0005-0000-0000-00000C000000}"/>
    <cellStyle name="Normal - Style1" xfId="14" xr:uid="{00000000-0005-0000-0000-00000D000000}"/>
    <cellStyle name="Normal_#18-Internet" xfId="15" xr:uid="{00000000-0005-0000-0000-00000E000000}"/>
    <cellStyle name="Percent [2]" xfId="16" xr:uid="{00000000-0005-0000-0000-00000F000000}"/>
    <cellStyle name="price" xfId="17" xr:uid="{00000000-0005-0000-0000-000010000000}"/>
    <cellStyle name="PSChar" xfId="18" xr:uid="{00000000-0005-0000-0000-000011000000}"/>
    <cellStyle name="PSHeading" xfId="19" xr:uid="{00000000-0005-0000-0000-000012000000}"/>
    <cellStyle name="revised" xfId="20" xr:uid="{00000000-0005-0000-0000-000013000000}"/>
    <cellStyle name="section" xfId="21" xr:uid="{00000000-0005-0000-0000-000014000000}"/>
    <cellStyle name="title" xfId="22" xr:uid="{00000000-0005-0000-0000-000015000000}"/>
    <cellStyle name="価格桁区切り" xfId="23" xr:uid="{00000000-0005-0000-0000-000017000000}"/>
    <cellStyle name="型番" xfId="24" xr:uid="{00000000-0005-0000-0000-000018000000}"/>
    <cellStyle name="数値" xfId="25" xr:uid="{00000000-0005-0000-0000-000019000000}"/>
    <cellStyle name="数値（桁区切り）" xfId="26" xr:uid="{00000000-0005-0000-0000-00001A000000}"/>
    <cellStyle name="数値_ＣＣ見積３S4100(NX)_rev3010704" xfId="27" xr:uid="{00000000-0005-0000-0000-00001B000000}"/>
    <cellStyle name="製品通知&quot;-&quot;" xfId="28" xr:uid="{00000000-0005-0000-0000-00001C000000}"/>
    <cellStyle name="製品通知価格" xfId="29" xr:uid="{00000000-0005-0000-0000-00001D000000}"/>
    <cellStyle name="製品通知日付" xfId="30" xr:uid="{00000000-0005-0000-0000-00001E000000}"/>
    <cellStyle name="製品通知文字列" xfId="31" xr:uid="{00000000-0005-0000-0000-00001F000000}"/>
    <cellStyle name="日付" xfId="32" xr:uid="{00000000-0005-0000-0000-000020000000}"/>
    <cellStyle name="年月日" xfId="33" xr:uid="{00000000-0005-0000-0000-000021000000}"/>
    <cellStyle name="標準" xfId="0" builtinId="0"/>
    <cellStyle name="標準 2" xfId="34" xr:uid="{00000000-0005-0000-0000-000023000000}"/>
    <cellStyle name="標準 2 2" xfId="43" xr:uid="{00000000-0005-0000-0000-000024000000}"/>
    <cellStyle name="標準 2 2 2" xfId="41" xr:uid="{00000000-0005-0000-0000-000025000000}"/>
    <cellStyle name="標準 3" xfId="42" xr:uid="{00000000-0005-0000-0000-000026000000}"/>
    <cellStyle name="標準 3 2" xfId="40" xr:uid="{00000000-0005-0000-0000-000027000000}"/>
    <cellStyle name="標準 4" xfId="35" xr:uid="{00000000-0005-0000-0000-000028000000}"/>
    <cellStyle name="標準_LoginTime_試験仕様書" xfId="36" xr:uid="{00000000-0005-0000-0000-000029000000}"/>
    <cellStyle name="文字列" xfId="37" xr:uid="{00000000-0005-0000-0000-00002A000000}"/>
    <cellStyle name="未定義" xfId="38" xr:uid="{00000000-0005-0000-0000-00002B000000}"/>
    <cellStyle name="網掛け" xfId="39" xr:uid="{00000000-0005-0000-0000-00002C000000}"/>
  </cellStyles>
  <dxfs count="2">
    <dxf>
      <fill>
        <patternFill>
          <bgColor theme="0" tint="-0.24994659260841701"/>
        </patternFill>
      </fill>
    </dxf>
    <dxf>
      <fill>
        <patternFill>
          <bgColor indexed="23"/>
        </patternFill>
      </fill>
    </dxf>
  </dxfs>
  <tableStyles count="0" defaultTableStyle="TableStyleMedium9" defaultPivotStyle="PivotStyleLight16"/>
  <colors>
    <mruColors>
      <color rgb="FFCC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19048</xdr:rowOff>
    </xdr:from>
    <xdr:to>
      <xdr:col>8</xdr:col>
      <xdr:colOff>438150</xdr:colOff>
      <xdr:row>0</xdr:row>
      <xdr:rowOff>685799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3473954-684D-4AE0-9696-DBD3D9D499EF}"/>
            </a:ext>
          </a:extLst>
        </xdr:cNvPr>
        <xdr:cNvSpPr txBox="1"/>
      </xdr:nvSpPr>
      <xdr:spPr>
        <a:xfrm>
          <a:off x="8010525" y="19048"/>
          <a:ext cx="6953250" cy="666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/>
            <a:t>【</a:t>
          </a:r>
          <a:r>
            <a:rPr kumimoji="1" lang="ja-JP" altLang="en-US" sz="800"/>
            <a:t>全体共通の手順</a:t>
          </a:r>
          <a:r>
            <a:rPr kumimoji="1" lang="en-US" altLang="ja-JP" sz="800"/>
            <a:t>】</a:t>
          </a:r>
        </a:p>
        <a:p>
          <a:r>
            <a:rPr kumimoji="1" lang="ja-JP" altLang="en-US" sz="800"/>
            <a:t>・本試験では、試験対象の</a:t>
          </a:r>
          <a:r>
            <a:rPr kumimoji="1" lang="en-US" altLang="ja-JP" sz="800"/>
            <a:t>API</a:t>
          </a:r>
          <a:r>
            <a:rPr kumimoji="1" lang="ja-JP" altLang="en-US" sz="800"/>
            <a:t>を呼び出す試験用スクリプトを作成し、実行することで試験を行うものとする。</a:t>
          </a:r>
          <a:endParaRPr kumimoji="1" lang="en-US" altLang="ja-JP" sz="800"/>
        </a:p>
        <a:p>
          <a:r>
            <a:rPr kumimoji="1" lang="ja-JP" altLang="en-US" sz="800"/>
            <a:t>・ログレベルに関する試験を行う際は、ソースコードの内容を変更する手順が必要となる。</a:t>
          </a:r>
          <a:endParaRPr kumimoji="1" lang="en-US" altLang="ja-JP" sz="800"/>
        </a:p>
        <a:p>
          <a:r>
            <a:rPr kumimoji="1" lang="ja-JP" altLang="en-US" sz="800"/>
            <a:t>・ソースコードに設定するログレベルは、手順で指定がない限り</a:t>
          </a:r>
          <a:r>
            <a:rPr kumimoji="1" lang="en-US" altLang="ja-JP" sz="800"/>
            <a:t>"debugLevel"</a:t>
          </a:r>
          <a:r>
            <a:rPr kumimoji="1" lang="ja-JP" altLang="en-US" sz="800"/>
            <a:t>とする。</a:t>
          </a:r>
          <a:endParaRPr kumimoji="1" lang="en-US" altLang="ja-JP" sz="8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9"/>
  <sheetViews>
    <sheetView showGridLines="0" tabSelected="1" view="pageBreakPreview" zoomScaleNormal="100" zoomScaleSheetLayoutView="100" workbookViewId="0">
      <selection sqref="A1:B2"/>
    </sheetView>
  </sheetViews>
  <sheetFormatPr defaultColWidth="9" defaultRowHeight="10.5" x14ac:dyDescent="0.15"/>
  <cols>
    <col min="1" max="1" width="5.625" style="7" customWidth="1"/>
    <col min="2" max="2" width="8.875" style="7" customWidth="1"/>
    <col min="3" max="8" width="5.625" style="7" customWidth="1"/>
    <col min="9" max="11" width="5.625" style="8" customWidth="1"/>
    <col min="12" max="12" width="5.625" style="7" customWidth="1"/>
    <col min="13" max="14" width="5.625" style="8" customWidth="1"/>
    <col min="15" max="65" width="5.625" style="7" customWidth="1"/>
    <col min="66" max="16384" width="9" style="7"/>
  </cols>
  <sheetData>
    <row r="1" spans="1:28" ht="15" customHeight="1" x14ac:dyDescent="0.15">
      <c r="A1" s="82"/>
      <c r="B1" s="82"/>
      <c r="C1" s="84"/>
      <c r="D1" s="4"/>
      <c r="E1" s="5"/>
      <c r="F1" s="3"/>
      <c r="G1" s="6"/>
      <c r="H1" s="5"/>
      <c r="I1" s="4"/>
      <c r="J1" s="4"/>
      <c r="K1" s="4"/>
      <c r="L1" s="5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B1" s="18" t="s">
        <v>43</v>
      </c>
    </row>
    <row r="2" spans="1:28" ht="15" customHeight="1" x14ac:dyDescent="0.15">
      <c r="A2" s="83"/>
      <c r="B2" s="83"/>
      <c r="C2" s="85"/>
      <c r="D2" s="2"/>
      <c r="F2" s="8"/>
      <c r="G2" s="9"/>
      <c r="I2" s="2"/>
      <c r="J2" s="2"/>
      <c r="K2" s="2"/>
      <c r="M2" s="2"/>
      <c r="N2" s="2"/>
    </row>
    <row r="3" spans="1:28" ht="15" customHeight="1" x14ac:dyDescent="0.15">
      <c r="I3" s="2"/>
      <c r="J3" s="2"/>
      <c r="K3" s="2"/>
      <c r="M3" s="2"/>
      <c r="N3" s="2"/>
    </row>
    <row r="4" spans="1:28" s="2" customFormat="1" ht="15" customHeight="1" x14ac:dyDescent="0.15">
      <c r="D4" s="7"/>
      <c r="E4" s="7"/>
      <c r="F4" s="7"/>
      <c r="G4" s="7"/>
      <c r="I4" s="10"/>
      <c r="M4" s="11"/>
    </row>
    <row r="5" spans="1:28" ht="15" customHeight="1" x14ac:dyDescent="0.15">
      <c r="A5" s="12"/>
      <c r="B5" s="12"/>
      <c r="C5" s="13"/>
      <c r="E5" s="14"/>
      <c r="F5" s="14"/>
      <c r="G5" s="14"/>
      <c r="H5" s="13"/>
      <c r="I5" s="15"/>
      <c r="M5" s="15"/>
    </row>
    <row r="6" spans="1:28" ht="15" customHeight="1" x14ac:dyDescent="0.15">
      <c r="A6" s="12"/>
      <c r="B6" s="12"/>
      <c r="C6" s="13"/>
      <c r="D6" s="86"/>
      <c r="E6" s="87"/>
      <c r="F6" s="87"/>
      <c r="G6" s="87"/>
      <c r="H6" s="13"/>
      <c r="I6" s="15"/>
      <c r="M6" s="15"/>
    </row>
    <row r="7" spans="1:28" ht="15" customHeight="1" x14ac:dyDescent="0.15">
      <c r="A7" s="12"/>
      <c r="B7" s="88" t="str">
        <f>"空間ID開発(GO言語版)
"&amp;AB1</f>
        <v>空間ID開発(GO言語版)
共通部-ログ</v>
      </c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</row>
    <row r="8" spans="1:28" ht="15" customHeight="1" x14ac:dyDescent="0.15">
      <c r="A8" s="12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</row>
    <row r="9" spans="1:28" ht="15" customHeight="1" x14ac:dyDescent="0.15">
      <c r="A9" s="12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</row>
    <row r="10" spans="1:28" ht="15" customHeight="1" x14ac:dyDescent="0.15">
      <c r="A10" s="12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</row>
    <row r="11" spans="1:28" ht="15" customHeight="1" x14ac:dyDescent="0.1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8" ht="15" customHeight="1" x14ac:dyDescent="0.15">
      <c r="A12" s="12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</row>
    <row r="13" spans="1:28" ht="15" customHeight="1" x14ac:dyDescent="0.15">
      <c r="A13" s="12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</row>
    <row r="14" spans="1:28" ht="15" customHeight="1" x14ac:dyDescent="0.15">
      <c r="A14" s="12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</row>
    <row r="15" spans="1:28" ht="15" customHeight="1" x14ac:dyDescent="0.15">
      <c r="A15" s="12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</row>
    <row r="16" spans="1:28" ht="15" customHeight="1" x14ac:dyDescent="0.1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" customHeight="1" x14ac:dyDescent="0.15">
      <c r="A17" s="12"/>
      <c r="B17" s="90" t="s">
        <v>42</v>
      </c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12"/>
    </row>
    <row r="18" spans="1:26" ht="15" customHeight="1" x14ac:dyDescent="0.15">
      <c r="A18" s="12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12"/>
    </row>
    <row r="19" spans="1:26" ht="15" customHeight="1" x14ac:dyDescent="0.15">
      <c r="A19" s="12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12"/>
    </row>
    <row r="20" spans="1:26" ht="15" customHeight="1" x14ac:dyDescent="0.15">
      <c r="A20" s="12"/>
      <c r="B20" s="91" t="str">
        <f>CONCATENATE(TEXT(MAX(変更履歴!C3:C7),"0.00"), "版")</f>
        <v>1.01版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</row>
    <row r="21" spans="1:26" ht="15" customHeight="1" x14ac:dyDescent="0.15">
      <c r="A21" s="12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12"/>
    </row>
    <row r="22" spans="1:26" ht="15" customHeight="1" x14ac:dyDescent="0.15">
      <c r="A22" s="12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2"/>
    </row>
    <row r="23" spans="1:26" ht="15" customHeight="1" x14ac:dyDescent="0.15">
      <c r="A23" s="12"/>
      <c r="B23" s="89">
        <v>44971</v>
      </c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12"/>
    </row>
    <row r="24" spans="1:26" ht="15" customHeight="1" x14ac:dyDescent="0.15">
      <c r="A24" s="12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12"/>
    </row>
    <row r="25" spans="1:26" ht="15" customHeight="1" x14ac:dyDescent="0.15">
      <c r="A25" s="1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</row>
    <row r="26" spans="1:26" ht="15" customHeight="1" x14ac:dyDescent="0.15">
      <c r="A26" s="1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</row>
    <row r="27" spans="1:26" ht="15" customHeight="1" x14ac:dyDescent="0.15">
      <c r="A27" s="1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</row>
    <row r="28" spans="1:26" ht="15" customHeight="1" x14ac:dyDescent="0.15">
      <c r="A28" s="1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</row>
    <row r="29" spans="1:26" ht="15" customHeight="1" x14ac:dyDescent="0.15">
      <c r="A29" s="12"/>
      <c r="B29" s="12"/>
      <c r="C29" s="17"/>
      <c r="D29" s="86"/>
      <c r="E29" s="87"/>
      <c r="F29" s="87"/>
      <c r="G29" s="87"/>
      <c r="H29" s="13"/>
      <c r="I29" s="15"/>
      <c r="M29" s="15"/>
    </row>
  </sheetData>
  <mergeCells count="10">
    <mergeCell ref="A1:B2"/>
    <mergeCell ref="C1:C2"/>
    <mergeCell ref="D6:G6"/>
    <mergeCell ref="B7:Y10"/>
    <mergeCell ref="D29:G29"/>
    <mergeCell ref="B23:Y24"/>
    <mergeCell ref="B17:Y19"/>
    <mergeCell ref="B12:Y15"/>
    <mergeCell ref="B20:Y21"/>
    <mergeCell ref="B25:Y28"/>
  </mergeCells>
  <phoneticPr fontId="3"/>
  <pageMargins left="0.78740157480314965" right="0.78740157480314965" top="0.98425196850393704" bottom="0.98425196850393704" header="0.51181102362204722" footer="0.51181102362204722"/>
  <pageSetup paperSize="9" scale="88" fitToHeight="0" orientation="landscape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5CD2-88A0-4C8C-B1E2-52AC5206311C}">
  <dimension ref="A2:F7"/>
  <sheetViews>
    <sheetView showGridLines="0" workbookViewId="0"/>
  </sheetViews>
  <sheetFormatPr defaultColWidth="2.625" defaultRowHeight="13.5" x14ac:dyDescent="0.15"/>
  <cols>
    <col min="2" max="2" width="17.25" bestFit="1" customWidth="1"/>
    <col min="3" max="3" width="6.5" bestFit="1" customWidth="1"/>
    <col min="4" max="4" width="13.625" customWidth="1"/>
    <col min="5" max="5" width="7.5" bestFit="1" customWidth="1"/>
    <col min="6" max="6" width="77.375" customWidth="1"/>
  </cols>
  <sheetData>
    <row r="2" spans="1:6" s="38" customFormat="1" ht="15" customHeight="1" x14ac:dyDescent="0.15">
      <c r="A2"/>
      <c r="B2" s="59" t="s">
        <v>0</v>
      </c>
      <c r="C2" s="60" t="s">
        <v>1</v>
      </c>
      <c r="D2" s="59" t="s">
        <v>25</v>
      </c>
      <c r="E2" s="59" t="s">
        <v>2</v>
      </c>
      <c r="F2" s="59" t="s">
        <v>3</v>
      </c>
    </row>
    <row r="3" spans="1:6" s="38" customFormat="1" ht="15" customHeight="1" x14ac:dyDescent="0.15">
      <c r="A3"/>
      <c r="B3" s="66">
        <v>44957</v>
      </c>
      <c r="C3" s="40">
        <v>1</v>
      </c>
      <c r="D3" s="41" t="s">
        <v>11</v>
      </c>
      <c r="E3" s="41" t="s">
        <v>34</v>
      </c>
      <c r="F3" s="41" t="s">
        <v>12</v>
      </c>
    </row>
    <row r="4" spans="1:6" s="38" customFormat="1" ht="135" x14ac:dyDescent="0.15">
      <c r="A4"/>
      <c r="B4" s="66">
        <v>44971</v>
      </c>
      <c r="C4" s="40">
        <v>1.01</v>
      </c>
      <c r="D4" s="41" t="s">
        <v>88</v>
      </c>
      <c r="E4" s="41" t="s">
        <v>34</v>
      </c>
      <c r="F4" s="81" t="s">
        <v>89</v>
      </c>
    </row>
    <row r="5" spans="1:6" s="38" customFormat="1" x14ac:dyDescent="0.15">
      <c r="A5"/>
      <c r="B5" s="66"/>
      <c r="C5" s="40"/>
      <c r="D5" s="41"/>
      <c r="E5" s="41"/>
      <c r="F5" s="81"/>
    </row>
    <row r="6" spans="1:6" s="38" customFormat="1" ht="15" customHeight="1" x14ac:dyDescent="0.15">
      <c r="A6"/>
      <c r="B6" s="39"/>
      <c r="C6" s="40"/>
      <c r="D6" s="41"/>
      <c r="E6" s="41"/>
      <c r="F6" s="41"/>
    </row>
    <row r="7" spans="1:6" s="38" customFormat="1" ht="15" customHeight="1" x14ac:dyDescent="0.15">
      <c r="A7"/>
      <c r="B7" s="39"/>
      <c r="C7" s="40"/>
      <c r="D7" s="41"/>
      <c r="E7" s="41"/>
      <c r="F7" s="4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cols>
    <col min="1" max="1" width="2.625" customWidth="1"/>
    <col min="2" max="2" width="23.125" bestFit="1" customWidth="1"/>
    <col min="3" max="5" width="10.625" customWidth="1"/>
    <col min="6" max="6" width="15.625" customWidth="1"/>
    <col min="7" max="7" width="78.25" bestFit="1" customWidth="1"/>
  </cols>
  <sheetData>
    <row r="1" spans="1:5" ht="19.5" thickBot="1" x14ac:dyDescent="0.25">
      <c r="A1" s="36" t="s">
        <v>23</v>
      </c>
    </row>
    <row r="2" spans="1:5" x14ac:dyDescent="0.15">
      <c r="B2" s="56" t="s">
        <v>24</v>
      </c>
      <c r="C2" s="57" t="s">
        <v>19</v>
      </c>
      <c r="D2" s="57" t="s">
        <v>20</v>
      </c>
      <c r="E2" s="58" t="s">
        <v>21</v>
      </c>
    </row>
    <row r="3" spans="1:5" ht="14.25" thickBot="1" x14ac:dyDescent="0.2">
      <c r="B3" s="53" t="s">
        <v>41</v>
      </c>
      <c r="C3" s="50">
        <f ca="1">VLOOKUP(B3,$B$8:$D$11,3,FALSE)</f>
        <v>10</v>
      </c>
      <c r="D3" s="50" cm="1">
        <f t="array" aca="1" ref="D3" ca="1">COUNTIF(INDIRECT(B3&amp;"!$K$3:$K$1024"),"OK")-SUMPRODUCT((OFFSET(INDIRECT(B3&amp;"!$K$3:$K$1024"),,)="OK")*(OFFSET(INDIRECT(B3&amp;"!$M$3:$M$1024"),,)&lt;&gt;""))</f>
        <v>10</v>
      </c>
      <c r="E3" s="54">
        <f ca="1">C3-D3</f>
        <v>0</v>
      </c>
    </row>
    <row r="4" spans="1:5" ht="15" thickTop="1" thickBot="1" x14ac:dyDescent="0.2">
      <c r="B4" s="55" t="s">
        <v>22</v>
      </c>
      <c r="C4" s="48">
        <f ca="1">SUM(C3:C3)</f>
        <v>10</v>
      </c>
      <c r="D4" s="48">
        <f ca="1">SUM(D3:D3)</f>
        <v>10</v>
      </c>
      <c r="E4" s="49">
        <f ca="1">SUM(E3:E3)</f>
        <v>0</v>
      </c>
    </row>
    <row r="5" spans="1:5" ht="14.25" thickBot="1" x14ac:dyDescent="0.2"/>
    <row r="6" spans="1:5" x14ac:dyDescent="0.15">
      <c r="B6" s="93" t="s">
        <v>27</v>
      </c>
      <c r="C6" s="94"/>
      <c r="D6" s="95"/>
    </row>
    <row r="7" spans="1:5" ht="14.25" thickBot="1" x14ac:dyDescent="0.2">
      <c r="B7" s="96"/>
      <c r="C7" s="97"/>
      <c r="D7" s="98"/>
    </row>
    <row r="8" spans="1:5" ht="14.25" thickBot="1" x14ac:dyDescent="0.2">
      <c r="B8" s="99" t="s">
        <v>41</v>
      </c>
      <c r="C8" s="44" t="s">
        <v>28</v>
      </c>
      <c r="D8" s="45">
        <f ca="1">SUM(D9:D11)</f>
        <v>10</v>
      </c>
    </row>
    <row r="9" spans="1:5" ht="14.25" thickTop="1" x14ac:dyDescent="0.15">
      <c r="B9" s="100"/>
      <c r="C9" s="37" t="s">
        <v>29</v>
      </c>
      <c r="D9" s="46" cm="1">
        <f t="array" aca="1" ref="D9" ca="1">COUNTIF(INDIRECT(B8&amp;"!$E$3:$E$1024"),C9)-SUMPRODUCT((OFFSET(INDIRECT(B8&amp;"!$E$3:$E$1024"),,)=C9)*(OFFSET(INDIRECT(B8&amp;"!$M$3:$M$1024"),,)&lt;&gt;""))</f>
        <v>10</v>
      </c>
    </row>
    <row r="10" spans="1:5" x14ac:dyDescent="0.15">
      <c r="B10" s="100"/>
      <c r="C10" s="35" t="s">
        <v>30</v>
      </c>
      <c r="D10" s="47" cm="1">
        <f t="array" aca="1" ref="D10" ca="1">COUNTIF(INDIRECT(B8&amp;"!$E$3:$E$1024"),C10)-SUMPRODUCT((OFFSET(INDIRECT(B8&amp;"!$E$3:$E$1024"),,)=C10)*(OFFSET(INDIRECT(B8&amp;"!$M$3:$M$1024"),,)&lt;&gt;""))</f>
        <v>0</v>
      </c>
    </row>
    <row r="11" spans="1:5" ht="14.25" thickBot="1" x14ac:dyDescent="0.2">
      <c r="B11" s="101"/>
      <c r="C11" s="48" t="s">
        <v>31</v>
      </c>
      <c r="D11" s="49" cm="1">
        <f t="array" aca="1" ref="D11" ca="1">COUNTIF(INDIRECT(B8&amp;"!$E$3:$E$1024"),C11)-SUMPRODUCT((OFFSET(INDIRECT(B8&amp;"!$E$3:$E$1024"),,)=C11)*(OFFSET(INDIRECT(B8&amp;"!$M$3:$M$1024"),,)&lt;&gt;""))</f>
        <v>0</v>
      </c>
    </row>
  </sheetData>
  <mergeCells count="2">
    <mergeCell ref="B6:D7"/>
    <mergeCell ref="B8:B11"/>
  </mergeCells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9"/>
  <sheetViews>
    <sheetView view="pageBreakPreview" zoomScaleNormal="100" zoomScaleSheetLayoutView="100" zoomScalePageLayoutView="85" workbookViewId="0">
      <pane ySplit="2" topLeftCell="A3" activePane="bottomLeft" state="frozen"/>
      <selection pane="bottomLeft" activeCell="A3" sqref="A3"/>
    </sheetView>
  </sheetViews>
  <sheetFormatPr defaultColWidth="6.5" defaultRowHeight="10.5" x14ac:dyDescent="0.15"/>
  <cols>
    <col min="1" max="1" width="18.375" style="19" bestFit="1" customWidth="1"/>
    <col min="2" max="2" width="19.75" style="19" customWidth="1"/>
    <col min="3" max="3" width="39.75" style="19" bestFit="1" customWidth="1"/>
    <col min="4" max="4" width="19.75" style="19" customWidth="1"/>
    <col min="5" max="5" width="7.5" style="19" bestFit="1" customWidth="1"/>
    <col min="6" max="6" width="7.375" style="19" hidden="1" customWidth="1"/>
    <col min="7" max="7" width="41.25" style="19" customWidth="1"/>
    <col min="8" max="8" width="44.25" style="19" customWidth="1"/>
    <col min="9" max="9" width="10.625" style="1" customWidth="1"/>
    <col min="10" max="11" width="10.625" style="21" customWidth="1"/>
    <col min="12" max="12" width="24.625" style="19" customWidth="1"/>
    <col min="13" max="13" width="25.375" style="19" customWidth="1"/>
    <col min="14" max="17" width="6.5" style="20"/>
    <col min="18" max="18" width="13.625" style="20" customWidth="1"/>
    <col min="19" max="16384" width="6.5" style="20"/>
  </cols>
  <sheetData>
    <row r="1" spans="1:20" s="24" customFormat="1" ht="57" customHeight="1" thickBot="1" x14ac:dyDescent="0.2">
      <c r="A1" s="22" t="str">
        <f ca="1">MID(CELL("filename",$A$1),FIND("]",CELL("filename",$A$1))+3,31)</f>
        <v>結合試験</v>
      </c>
      <c r="B1" s="23"/>
      <c r="C1" s="23"/>
      <c r="D1" s="23"/>
      <c r="E1" s="23"/>
      <c r="F1" s="23"/>
      <c r="G1" s="23"/>
      <c r="H1" s="23"/>
      <c r="I1" s="1"/>
      <c r="J1" s="21"/>
      <c r="K1" s="30" t="s">
        <v>33</v>
      </c>
      <c r="L1" s="23"/>
      <c r="M1" s="23"/>
      <c r="O1" s="25"/>
      <c r="P1" s="25"/>
      <c r="R1" s="31" t="s">
        <v>16</v>
      </c>
      <c r="S1" s="31">
        <f ca="1">VALUE(MID(CELL("filename",$A$1),FIND("]",CELL("filename",$A$1))+1,2))</f>
        <v>1</v>
      </c>
      <c r="T1" s="32"/>
    </row>
    <row r="2" spans="1:20" s="24" customFormat="1" ht="14.25" thickBot="1" x14ac:dyDescent="0.2">
      <c r="A2" s="61" t="s">
        <v>4</v>
      </c>
      <c r="B2" s="62" t="s">
        <v>5</v>
      </c>
      <c r="C2" s="62" t="s">
        <v>6</v>
      </c>
      <c r="D2" s="63" t="s">
        <v>7</v>
      </c>
      <c r="E2" s="63" t="s">
        <v>26</v>
      </c>
      <c r="F2" s="62" t="s">
        <v>32</v>
      </c>
      <c r="G2" s="62" t="s">
        <v>40</v>
      </c>
      <c r="H2" s="62" t="s">
        <v>39</v>
      </c>
      <c r="I2" s="64" t="s">
        <v>8</v>
      </c>
      <c r="J2" s="65" t="s">
        <v>9</v>
      </c>
      <c r="K2" s="62" t="s">
        <v>10</v>
      </c>
      <c r="L2" s="62" t="s">
        <v>17</v>
      </c>
      <c r="M2" s="62" t="s">
        <v>18</v>
      </c>
      <c r="O2" s="25"/>
      <c r="P2" s="25"/>
      <c r="R2" s="33" t="s">
        <v>13</v>
      </c>
      <c r="S2" s="33" t="s">
        <v>14</v>
      </c>
      <c r="T2" s="33" t="s">
        <v>15</v>
      </c>
    </row>
    <row r="3" spans="1:20" s="25" customFormat="1" ht="105" x14ac:dyDescent="0.15">
      <c r="A3" s="51" t="str">
        <f ca="1">IF(B3&lt;&gt;"",表紙!$AB$1&amp;"-"&amp;"結合-"&amp;TEXT($S$1,"00")&amp;"-"&amp;TEXT(R3,"00")&amp;"-"&amp;TEXT(S3,"00")&amp;"-"&amp;TEXT(T3,"０00"),"")</f>
        <v>共通部-ログ-結合-01-01-01-001</v>
      </c>
      <c r="B3" s="29" t="s">
        <v>44</v>
      </c>
      <c r="C3" s="29" t="s">
        <v>45</v>
      </c>
      <c r="D3" s="29" t="s">
        <v>53</v>
      </c>
      <c r="E3" s="42" t="s">
        <v>35</v>
      </c>
      <c r="F3" s="42"/>
      <c r="G3" s="29" t="s">
        <v>56</v>
      </c>
      <c r="H3" s="29" t="s">
        <v>59</v>
      </c>
      <c r="I3" s="76">
        <v>44971</v>
      </c>
      <c r="J3" s="77" t="s">
        <v>86</v>
      </c>
      <c r="K3" s="78" t="s">
        <v>87</v>
      </c>
      <c r="L3" s="29"/>
      <c r="M3" s="29"/>
      <c r="R3" s="33">
        <f>IF(ROW()&lt;&gt;3,IF(B2&lt;&gt;B3,#REF!+1,#REF!),1)</f>
        <v>1</v>
      </c>
      <c r="S3" s="33">
        <f>IF(B2=B3,IF(C2&lt;&gt;C3,#REF!+1,#REF!),1)</f>
        <v>1</v>
      </c>
      <c r="T3" s="33">
        <f>IF(B2&lt;&gt;B3,1,IF(C2=C3,#REF!+1,1))</f>
        <v>1</v>
      </c>
    </row>
    <row r="4" spans="1:20" s="25" customFormat="1" ht="84" x14ac:dyDescent="0.15">
      <c r="A4" s="52" t="str">
        <f ca="1">IF(B4&lt;&gt;"",表紙!$AB$1&amp;"-"&amp;"結合-"&amp;TEXT($S$1,"00")&amp;"-"&amp;TEXT(R4,"00")&amp;"-"&amp;TEXT(S4,"00")&amp;"-"&amp;TEXT(T4,"０00"),"")</f>
        <v>共通部-ログ-結合-01-01-01-002</v>
      </c>
      <c r="B4" s="26" t="s">
        <v>44</v>
      </c>
      <c r="C4" s="26" t="s">
        <v>47</v>
      </c>
      <c r="D4" s="26" t="s">
        <v>54</v>
      </c>
      <c r="E4" s="43" t="s">
        <v>35</v>
      </c>
      <c r="F4" s="43"/>
      <c r="G4" s="34" t="s">
        <v>57</v>
      </c>
      <c r="H4" s="26" t="s">
        <v>58</v>
      </c>
      <c r="I4" s="73">
        <v>44971</v>
      </c>
      <c r="J4" s="74" t="s">
        <v>86</v>
      </c>
      <c r="K4" s="75" t="s">
        <v>87</v>
      </c>
      <c r="L4" s="26"/>
      <c r="M4" s="26"/>
      <c r="R4" s="33">
        <f t="shared" ref="R4:R22" si="0">IF(ROW()&lt;&gt;3,IF(B3&lt;&gt;B4,R3+1,R3),1)</f>
        <v>1</v>
      </c>
      <c r="S4" s="33">
        <f t="shared" ref="S4:S22" si="1">IF(B3=B4,IF(C3&lt;&gt;C4,S3+1,S3),1)</f>
        <v>1</v>
      </c>
      <c r="T4" s="33">
        <f t="shared" ref="T4:T22" si="2">IF(B3&lt;&gt;B4,1,IF(C3=C4,T3+1,1))</f>
        <v>2</v>
      </c>
    </row>
    <row r="5" spans="1:20" s="25" customFormat="1" ht="21" x14ac:dyDescent="0.15">
      <c r="A5" s="52" t="str">
        <f ca="1">IF(B5&lt;&gt;"",表紙!$AB$1&amp;"-"&amp;"結合-"&amp;TEXT($S$1,"00")&amp;"-"&amp;TEXT(R5,"00")&amp;"-"&amp;TEXT(S5,"00")&amp;"-"&amp;TEXT(T5,"０00"),"")</f>
        <v>共通部-ログ-結合-01-01-02-001</v>
      </c>
      <c r="B5" s="26" t="s">
        <v>44</v>
      </c>
      <c r="C5" s="26" t="s">
        <v>46</v>
      </c>
      <c r="D5" s="26" t="s">
        <v>55</v>
      </c>
      <c r="E5" s="43" t="s">
        <v>35</v>
      </c>
      <c r="F5" s="43"/>
      <c r="G5" s="34"/>
      <c r="H5" s="34"/>
      <c r="I5" s="67"/>
      <c r="J5" s="68"/>
      <c r="K5" s="69"/>
      <c r="L5" s="26"/>
      <c r="M5" s="26" t="str">
        <f ca="1">$A$3</f>
        <v>共通部-ログ-結合-01-01-01-001</v>
      </c>
      <c r="R5" s="33">
        <f t="shared" si="0"/>
        <v>1</v>
      </c>
      <c r="S5" s="33">
        <f t="shared" si="1"/>
        <v>2</v>
      </c>
      <c r="T5" s="33">
        <f t="shared" si="2"/>
        <v>1</v>
      </c>
    </row>
    <row r="6" spans="1:20" s="25" customFormat="1" ht="21" x14ac:dyDescent="0.15">
      <c r="A6" s="52" t="str">
        <f ca="1">IF(B6&lt;&gt;"",表紙!$AB$1&amp;"-"&amp;"結合-"&amp;TEXT($S$1,"00")&amp;"-"&amp;TEXT(R6,"00")&amp;"-"&amp;TEXT(S6,"00")&amp;"-"&amp;TEXT(T6,"０00"),"")</f>
        <v>共通部-ログ-結合-01-01-03-001</v>
      </c>
      <c r="B6" s="26" t="s">
        <v>44</v>
      </c>
      <c r="C6" s="26" t="s">
        <v>48</v>
      </c>
      <c r="D6" s="26" t="s">
        <v>55</v>
      </c>
      <c r="E6" s="43" t="s">
        <v>35</v>
      </c>
      <c r="F6" s="43"/>
      <c r="G6" s="34"/>
      <c r="H6" s="34"/>
      <c r="I6" s="67"/>
      <c r="J6" s="68"/>
      <c r="K6" s="69"/>
      <c r="L6" s="26"/>
      <c r="M6" s="26" t="str">
        <f ca="1">$A$3</f>
        <v>共通部-ログ-結合-01-01-01-001</v>
      </c>
      <c r="R6" s="33">
        <f t="shared" si="0"/>
        <v>1</v>
      </c>
      <c r="S6" s="33">
        <f t="shared" si="1"/>
        <v>3</v>
      </c>
      <c r="T6" s="33">
        <f t="shared" si="2"/>
        <v>1</v>
      </c>
    </row>
    <row r="7" spans="1:20" s="25" customFormat="1" ht="21" x14ac:dyDescent="0.15">
      <c r="A7" s="52" t="str">
        <f ca="1">IF(B7&lt;&gt;"",表紙!$AB$1&amp;"-"&amp;"結合-"&amp;TEXT($S$1,"00")&amp;"-"&amp;TEXT(R7,"00")&amp;"-"&amp;TEXT(S7,"00")&amp;"-"&amp;TEXT(T7,"０00"),"")</f>
        <v>共通部-ログ-結合-01-01-04-001</v>
      </c>
      <c r="B7" s="26" t="s">
        <v>44</v>
      </c>
      <c r="C7" s="26" t="s">
        <v>49</v>
      </c>
      <c r="D7" s="26" t="s">
        <v>51</v>
      </c>
      <c r="E7" s="43" t="s">
        <v>35</v>
      </c>
      <c r="F7" s="43"/>
      <c r="G7" s="34"/>
      <c r="H7" s="34"/>
      <c r="I7" s="70"/>
      <c r="J7" s="71"/>
      <c r="K7" s="72"/>
      <c r="L7" s="26"/>
      <c r="M7" s="26" t="str">
        <f ca="1">$A$3</f>
        <v>共通部-ログ-結合-01-01-01-001</v>
      </c>
      <c r="R7" s="33">
        <f t="shared" si="0"/>
        <v>1</v>
      </c>
      <c r="S7" s="33">
        <f t="shared" si="1"/>
        <v>4</v>
      </c>
      <c r="T7" s="33">
        <f t="shared" si="2"/>
        <v>1</v>
      </c>
    </row>
    <row r="8" spans="1:20" s="25" customFormat="1" ht="63" x14ac:dyDescent="0.15">
      <c r="A8" s="52" t="str">
        <f ca="1">IF(B8&lt;&gt;"",表紙!$AB$1&amp;"-"&amp;"結合-"&amp;TEXT($S$1,"00")&amp;"-"&amp;TEXT(R8,"00")&amp;"-"&amp;TEXT(S8,"00")&amp;"-"&amp;TEXT(T8,"０00"),"")</f>
        <v>共通部-ログ-結合-01-01-04-002</v>
      </c>
      <c r="B8" s="26" t="s">
        <v>44</v>
      </c>
      <c r="C8" s="26" t="s">
        <v>49</v>
      </c>
      <c r="D8" s="26" t="s">
        <v>67</v>
      </c>
      <c r="E8" s="43" t="s">
        <v>35</v>
      </c>
      <c r="F8" s="43"/>
      <c r="G8" s="34" t="s">
        <v>60</v>
      </c>
      <c r="H8" s="34" t="s">
        <v>61</v>
      </c>
      <c r="I8" s="67">
        <v>44971</v>
      </c>
      <c r="J8" s="68" t="s">
        <v>86</v>
      </c>
      <c r="K8" s="69" t="s">
        <v>87</v>
      </c>
      <c r="L8" s="26"/>
      <c r="M8" s="26"/>
      <c r="R8" s="33">
        <f t="shared" si="0"/>
        <v>1</v>
      </c>
      <c r="S8" s="33">
        <f t="shared" si="1"/>
        <v>4</v>
      </c>
      <c r="T8" s="33">
        <f t="shared" si="2"/>
        <v>2</v>
      </c>
    </row>
    <row r="9" spans="1:20" s="25" customFormat="1" ht="73.5" x14ac:dyDescent="0.15">
      <c r="A9" s="52" t="str">
        <f ca="1">IF(B9&lt;&gt;"",表紙!$AB$1&amp;"-"&amp;"結合-"&amp;TEXT($S$1,"00")&amp;"-"&amp;TEXT(R9,"00")&amp;"-"&amp;TEXT(S9,"00")&amp;"-"&amp;TEXT(T9,"０00"),"")</f>
        <v>共通部-ログ-結合-01-01-04-003</v>
      </c>
      <c r="B9" s="26" t="s">
        <v>44</v>
      </c>
      <c r="C9" s="26" t="s">
        <v>49</v>
      </c>
      <c r="D9" s="26" t="s">
        <v>52</v>
      </c>
      <c r="E9" s="43" t="s">
        <v>35</v>
      </c>
      <c r="F9" s="43"/>
      <c r="G9" s="34" t="s">
        <v>62</v>
      </c>
      <c r="H9" s="34" t="s">
        <v>90</v>
      </c>
      <c r="I9" s="79">
        <v>44971</v>
      </c>
      <c r="J9" s="80" t="s">
        <v>86</v>
      </c>
      <c r="K9" s="69" t="s">
        <v>87</v>
      </c>
      <c r="L9" s="26"/>
      <c r="M9" s="26"/>
      <c r="R9" s="33">
        <f t="shared" si="0"/>
        <v>1</v>
      </c>
      <c r="S9" s="33">
        <f t="shared" si="1"/>
        <v>4</v>
      </c>
      <c r="T9" s="33">
        <f t="shared" si="2"/>
        <v>3</v>
      </c>
    </row>
    <row r="10" spans="1:20" s="25" customFormat="1" ht="63" x14ac:dyDescent="0.15">
      <c r="A10" s="52" t="str">
        <f ca="1">IF(B10&lt;&gt;"",表紙!$AB$1&amp;"-"&amp;"結合-"&amp;TEXT($S$1,"00")&amp;"-"&amp;TEXT(R10,"00")&amp;"-"&amp;TEXT(S10,"00")&amp;"-"&amp;TEXT(T10,"０00"),"")</f>
        <v>共通部-ログ-結合-01-01-04-004</v>
      </c>
      <c r="B10" s="26" t="s">
        <v>44</v>
      </c>
      <c r="C10" s="26" t="s">
        <v>49</v>
      </c>
      <c r="D10" s="34" t="s">
        <v>50</v>
      </c>
      <c r="E10" s="43" t="s">
        <v>35</v>
      </c>
      <c r="F10" s="43"/>
      <c r="G10" s="34" t="s">
        <v>63</v>
      </c>
      <c r="H10" s="34" t="s">
        <v>64</v>
      </c>
      <c r="I10" s="67">
        <v>44971</v>
      </c>
      <c r="J10" s="68" t="s">
        <v>86</v>
      </c>
      <c r="K10" s="69" t="s">
        <v>87</v>
      </c>
      <c r="L10" s="26"/>
      <c r="M10" s="26"/>
      <c r="R10" s="33">
        <f t="shared" si="0"/>
        <v>1</v>
      </c>
      <c r="S10" s="33">
        <f t="shared" si="1"/>
        <v>4</v>
      </c>
      <c r="T10" s="33">
        <f t="shared" si="2"/>
        <v>4</v>
      </c>
    </row>
    <row r="11" spans="1:20" s="25" customFormat="1" ht="63" x14ac:dyDescent="0.15">
      <c r="A11" s="52" t="str">
        <f ca="1">IF(B11&lt;&gt;"",表紙!$AB$1&amp;"-"&amp;"結合-"&amp;TEXT($S$1,"00")&amp;"-"&amp;TEXT(R11,"00")&amp;"-"&amp;TEXT(S11,"00")&amp;"-"&amp;TEXT(T11,"０00"),"")</f>
        <v>共通部-ログ-結合-01-01-04-005</v>
      </c>
      <c r="B11" s="26" t="s">
        <v>44</v>
      </c>
      <c r="C11" s="26" t="s">
        <v>49</v>
      </c>
      <c r="D11" s="34" t="s">
        <v>66</v>
      </c>
      <c r="E11" s="43" t="s">
        <v>35</v>
      </c>
      <c r="F11" s="43"/>
      <c r="G11" s="34" t="s">
        <v>65</v>
      </c>
      <c r="H11" s="34" t="s">
        <v>91</v>
      </c>
      <c r="I11" s="79">
        <v>44971</v>
      </c>
      <c r="J11" s="80" t="s">
        <v>86</v>
      </c>
      <c r="K11" s="69" t="s">
        <v>87</v>
      </c>
      <c r="L11" s="26"/>
      <c r="M11" s="26"/>
      <c r="R11" s="33">
        <f t="shared" si="0"/>
        <v>1</v>
      </c>
      <c r="S11" s="33">
        <f t="shared" si="1"/>
        <v>4</v>
      </c>
      <c r="T11" s="33">
        <f t="shared" si="2"/>
        <v>5</v>
      </c>
    </row>
    <row r="12" spans="1:20" s="25" customFormat="1" ht="105" x14ac:dyDescent="0.15">
      <c r="A12" s="52" t="str">
        <f ca="1">IF(B12&lt;&gt;"",表紙!$AB$1&amp;"-"&amp;"結合-"&amp;TEXT($S$1,"00")&amp;"-"&amp;TEXT(R12,"00")&amp;"-"&amp;TEXT(S12,"00")&amp;"-"&amp;TEXT(T12,"０00"),"")</f>
        <v>共通部-ログ-結合-01-01-05-001</v>
      </c>
      <c r="B12" s="26" t="s">
        <v>44</v>
      </c>
      <c r="C12" s="26" t="s">
        <v>68</v>
      </c>
      <c r="D12" s="34" t="s">
        <v>69</v>
      </c>
      <c r="E12" s="43" t="s">
        <v>35</v>
      </c>
      <c r="F12" s="43"/>
      <c r="G12" s="34" t="s">
        <v>76</v>
      </c>
      <c r="H12" s="34" t="s">
        <v>77</v>
      </c>
      <c r="I12" s="67">
        <v>44971</v>
      </c>
      <c r="J12" s="68" t="s">
        <v>86</v>
      </c>
      <c r="K12" s="69" t="s">
        <v>87</v>
      </c>
      <c r="L12" s="26" t="s">
        <v>75</v>
      </c>
      <c r="M12" s="26"/>
      <c r="R12" s="33">
        <f t="shared" si="0"/>
        <v>1</v>
      </c>
      <c r="S12" s="33">
        <f t="shared" si="1"/>
        <v>5</v>
      </c>
      <c r="T12" s="33">
        <f t="shared" si="2"/>
        <v>1</v>
      </c>
    </row>
    <row r="13" spans="1:20" s="25" customFormat="1" ht="105" x14ac:dyDescent="0.15">
      <c r="A13" s="52" t="str">
        <f ca="1">IF(B13&lt;&gt;"",表紙!$AB$1&amp;"-"&amp;"結合-"&amp;TEXT($S$1,"00")&amp;"-"&amp;TEXT(R13,"00")&amp;"-"&amp;TEXT(S13,"00")&amp;"-"&amp;TEXT(T13,"０00"),"")</f>
        <v>共通部-ログ-結合-01-01-05-002</v>
      </c>
      <c r="B13" s="26" t="s">
        <v>44</v>
      </c>
      <c r="C13" s="26" t="s">
        <v>68</v>
      </c>
      <c r="D13" s="34" t="s">
        <v>70</v>
      </c>
      <c r="E13" s="43" t="s">
        <v>35</v>
      </c>
      <c r="F13" s="43"/>
      <c r="G13" s="34" t="s">
        <v>78</v>
      </c>
      <c r="H13" s="34" t="s">
        <v>79</v>
      </c>
      <c r="I13" s="67">
        <v>44971</v>
      </c>
      <c r="J13" s="68" t="s">
        <v>86</v>
      </c>
      <c r="K13" s="69" t="s">
        <v>87</v>
      </c>
      <c r="L13" s="26" t="s">
        <v>74</v>
      </c>
      <c r="M13" s="26"/>
      <c r="R13" s="33">
        <f t="shared" si="0"/>
        <v>1</v>
      </c>
      <c r="S13" s="33">
        <f t="shared" si="1"/>
        <v>5</v>
      </c>
      <c r="T13" s="33">
        <f t="shared" si="2"/>
        <v>2</v>
      </c>
    </row>
    <row r="14" spans="1:20" s="25" customFormat="1" ht="105" x14ac:dyDescent="0.15">
      <c r="A14" s="52" t="str">
        <f ca="1">IF(B14&lt;&gt;"",表紙!$AB$1&amp;"-"&amp;"結合-"&amp;TEXT($S$1,"00")&amp;"-"&amp;TEXT(R14,"00")&amp;"-"&amp;TEXT(S14,"00")&amp;"-"&amp;TEXT(T14,"０00"),"")</f>
        <v>共通部-ログ-結合-01-01-05-003</v>
      </c>
      <c r="B14" s="26" t="s">
        <v>44</v>
      </c>
      <c r="C14" s="26" t="s">
        <v>68</v>
      </c>
      <c r="D14" s="34" t="s">
        <v>83</v>
      </c>
      <c r="E14" s="43" t="s">
        <v>35</v>
      </c>
      <c r="F14" s="43"/>
      <c r="G14" s="34" t="s">
        <v>84</v>
      </c>
      <c r="H14" s="34" t="s">
        <v>85</v>
      </c>
      <c r="I14" s="67">
        <v>44971</v>
      </c>
      <c r="J14" s="68" t="s">
        <v>86</v>
      </c>
      <c r="K14" s="69" t="s">
        <v>87</v>
      </c>
      <c r="L14" s="26" t="s">
        <v>74</v>
      </c>
      <c r="M14" s="26"/>
      <c r="R14" s="33">
        <f t="shared" si="0"/>
        <v>1</v>
      </c>
      <c r="S14" s="33">
        <f t="shared" si="1"/>
        <v>5</v>
      </c>
      <c r="T14" s="33">
        <f t="shared" si="2"/>
        <v>3</v>
      </c>
    </row>
    <row r="15" spans="1:20" s="25" customFormat="1" ht="157.5" x14ac:dyDescent="0.15">
      <c r="A15" s="52" t="str">
        <f ca="1">IF(B15&lt;&gt;"",表紙!$AB$1&amp;"-"&amp;"結合-"&amp;TEXT($S$1,"00")&amp;"-"&amp;TEXT(R15,"00")&amp;"-"&amp;TEXT(S15,"00")&amp;"-"&amp;TEXT(T15,"０00"),"")</f>
        <v>共通部-ログ-結合-01-01-06-001</v>
      </c>
      <c r="B15" s="26" t="s">
        <v>82</v>
      </c>
      <c r="C15" s="26" t="s">
        <v>71</v>
      </c>
      <c r="D15" s="34" t="s">
        <v>72</v>
      </c>
      <c r="E15" s="43" t="s">
        <v>35</v>
      </c>
      <c r="F15" s="43"/>
      <c r="G15" s="34" t="s">
        <v>80</v>
      </c>
      <c r="H15" s="34" t="s">
        <v>81</v>
      </c>
      <c r="I15" s="67">
        <v>44971</v>
      </c>
      <c r="J15" s="68" t="s">
        <v>86</v>
      </c>
      <c r="K15" s="69" t="s">
        <v>87</v>
      </c>
      <c r="L15" s="26" t="s">
        <v>74</v>
      </c>
      <c r="M15" s="26"/>
      <c r="R15" s="33">
        <f t="shared" si="0"/>
        <v>1</v>
      </c>
      <c r="S15" s="33">
        <f t="shared" si="1"/>
        <v>6</v>
      </c>
      <c r="T15" s="33">
        <f t="shared" si="2"/>
        <v>1</v>
      </c>
    </row>
    <row r="16" spans="1:20" s="25" customFormat="1" ht="21" x14ac:dyDescent="0.15">
      <c r="A16" s="52" t="str">
        <f ca="1">IF(B16&lt;&gt;"",表紙!$AB$1&amp;"-"&amp;"結合-"&amp;TEXT($S$1,"00")&amp;"-"&amp;TEXT(R16,"00")&amp;"-"&amp;TEXT(S16,"00")&amp;"-"&amp;TEXT(T16,"０00"),"")</f>
        <v>共通部-ログ-結合-01-01-06-002</v>
      </c>
      <c r="B16" s="26" t="s">
        <v>82</v>
      </c>
      <c r="C16" s="26" t="s">
        <v>71</v>
      </c>
      <c r="D16" s="26" t="s">
        <v>73</v>
      </c>
      <c r="E16" s="43" t="s">
        <v>35</v>
      </c>
      <c r="F16" s="43"/>
      <c r="G16" s="34"/>
      <c r="H16" s="34"/>
      <c r="I16" s="67"/>
      <c r="J16" s="68"/>
      <c r="K16" s="69"/>
      <c r="L16" s="26" t="s">
        <v>74</v>
      </c>
      <c r="M16" s="26" t="str">
        <f ca="1">$A$12</f>
        <v>共通部-ログ-結合-01-01-05-001</v>
      </c>
      <c r="R16" s="33">
        <f t="shared" si="0"/>
        <v>1</v>
      </c>
      <c r="S16" s="33">
        <f t="shared" si="1"/>
        <v>6</v>
      </c>
      <c r="T16" s="33">
        <f t="shared" si="2"/>
        <v>2</v>
      </c>
    </row>
    <row r="17" spans="1:20" s="25" customFormat="1" ht="13.5" x14ac:dyDescent="0.15">
      <c r="A17" s="52" t="str">
        <f>IF(B17&lt;&gt;"",表紙!$AB$1&amp;"-"&amp;"結合-"&amp;TEXT($S$1,"00")&amp;"-"&amp;TEXT(R17,"00")&amp;"-"&amp;TEXT(S17,"00")&amp;"-"&amp;TEXT(T17,"０00"),"")</f>
        <v/>
      </c>
      <c r="B17" s="26"/>
      <c r="C17" s="26"/>
      <c r="D17" s="26"/>
      <c r="E17" s="43"/>
      <c r="F17" s="43"/>
      <c r="G17" s="34"/>
      <c r="H17" s="34"/>
      <c r="I17" s="67"/>
      <c r="J17" s="68"/>
      <c r="K17" s="69"/>
      <c r="L17" s="26"/>
      <c r="M17" s="26"/>
      <c r="R17" s="33">
        <f t="shared" si="0"/>
        <v>2</v>
      </c>
      <c r="S17" s="33">
        <f t="shared" si="1"/>
        <v>1</v>
      </c>
      <c r="T17" s="33">
        <f t="shared" si="2"/>
        <v>1</v>
      </c>
    </row>
    <row r="18" spans="1:20" s="25" customFormat="1" ht="13.5" x14ac:dyDescent="0.15">
      <c r="A18" s="52" t="str">
        <f>IF(B18&lt;&gt;"",表紙!$AB$1&amp;"-"&amp;"結合-"&amp;TEXT($S$1,"00")&amp;"-"&amp;TEXT(R18,"00")&amp;"-"&amp;TEXT(S18,"00")&amp;"-"&amp;TEXT(T18,"０00"),"")</f>
        <v/>
      </c>
      <c r="B18" s="26"/>
      <c r="C18" s="26"/>
      <c r="D18" s="26"/>
      <c r="E18" s="43"/>
      <c r="F18" s="43"/>
      <c r="G18" s="34"/>
      <c r="H18" s="34"/>
      <c r="I18" s="67"/>
      <c r="J18" s="68"/>
      <c r="K18" s="69"/>
      <c r="L18" s="26"/>
      <c r="M18" s="26"/>
      <c r="R18" s="33">
        <f t="shared" si="0"/>
        <v>2</v>
      </c>
      <c r="S18" s="33">
        <f t="shared" si="1"/>
        <v>1</v>
      </c>
      <c r="T18" s="33">
        <f t="shared" si="2"/>
        <v>2</v>
      </c>
    </row>
    <row r="19" spans="1:20" s="25" customFormat="1" ht="13.5" x14ac:dyDescent="0.15">
      <c r="A19" s="52" t="str">
        <f>IF(B19&lt;&gt;"",表紙!$AB$1&amp;"-"&amp;"結合-"&amp;TEXT($S$1,"00")&amp;"-"&amp;TEXT(R19,"00")&amp;"-"&amp;TEXT(S19,"00")&amp;"-"&amp;TEXT(T19,"０00"),"")</f>
        <v/>
      </c>
      <c r="B19" s="26"/>
      <c r="C19" s="26"/>
      <c r="D19" s="26"/>
      <c r="E19" s="43"/>
      <c r="F19" s="43"/>
      <c r="G19" s="34"/>
      <c r="H19" s="34"/>
      <c r="I19" s="67"/>
      <c r="J19" s="68"/>
      <c r="K19" s="69"/>
      <c r="L19" s="26"/>
      <c r="M19" s="26"/>
      <c r="R19" s="33">
        <f t="shared" si="0"/>
        <v>2</v>
      </c>
      <c r="S19" s="33">
        <f t="shared" si="1"/>
        <v>1</v>
      </c>
      <c r="T19" s="33">
        <f t="shared" si="2"/>
        <v>3</v>
      </c>
    </row>
    <row r="20" spans="1:20" s="25" customFormat="1" ht="13.5" x14ac:dyDescent="0.15">
      <c r="A20" s="52" t="str">
        <f>IF(B20&lt;&gt;"",表紙!$AB$1&amp;"-"&amp;"結合-"&amp;TEXT($S$1,"00")&amp;"-"&amp;TEXT(R20,"00")&amp;"-"&amp;TEXT(S20,"00")&amp;"-"&amp;TEXT(T20,"０00"),"")</f>
        <v/>
      </c>
      <c r="B20" s="26"/>
      <c r="C20" s="26"/>
      <c r="D20" s="26"/>
      <c r="E20" s="43"/>
      <c r="F20" s="43"/>
      <c r="G20" s="34"/>
      <c r="H20" s="34"/>
      <c r="I20" s="67"/>
      <c r="J20" s="68"/>
      <c r="K20" s="69"/>
      <c r="L20" s="26"/>
      <c r="M20" s="26"/>
      <c r="R20" s="33">
        <f t="shared" si="0"/>
        <v>2</v>
      </c>
      <c r="S20" s="33">
        <f t="shared" si="1"/>
        <v>1</v>
      </c>
      <c r="T20" s="33">
        <f t="shared" si="2"/>
        <v>4</v>
      </c>
    </row>
    <row r="21" spans="1:20" s="25" customFormat="1" ht="13.5" x14ac:dyDescent="0.15">
      <c r="A21" s="52" t="str">
        <f>IF(B21&lt;&gt;"",表紙!$AB$1&amp;"-"&amp;"結合-"&amp;TEXT($S$1,"00")&amp;"-"&amp;TEXT(R21,"00")&amp;"-"&amp;TEXT(S21,"00")&amp;"-"&amp;TEXT(T21,"０00"),"")</f>
        <v/>
      </c>
      <c r="B21" s="26"/>
      <c r="C21" s="26"/>
      <c r="D21" s="26"/>
      <c r="E21" s="43"/>
      <c r="F21" s="43"/>
      <c r="G21" s="34"/>
      <c r="H21" s="34"/>
      <c r="I21" s="67"/>
      <c r="J21" s="68"/>
      <c r="K21" s="69"/>
      <c r="L21" s="26"/>
      <c r="M21" s="26"/>
      <c r="R21" s="33">
        <f t="shared" si="0"/>
        <v>2</v>
      </c>
      <c r="S21" s="33">
        <f t="shared" si="1"/>
        <v>1</v>
      </c>
      <c r="T21" s="33">
        <f t="shared" si="2"/>
        <v>5</v>
      </c>
    </row>
    <row r="22" spans="1:20" s="25" customFormat="1" ht="13.5" x14ac:dyDescent="0.15">
      <c r="A22" s="52" t="str">
        <f>IF(B22&lt;&gt;"",表紙!$AB$1&amp;"-"&amp;"結合-"&amp;TEXT($S$1,"00")&amp;"-"&amp;TEXT(R22,"00")&amp;"-"&amp;TEXT(S22,"00")&amp;"-"&amp;TEXT(T22,"０00"),"")</f>
        <v/>
      </c>
      <c r="B22" s="26"/>
      <c r="C22" s="26"/>
      <c r="D22" s="26"/>
      <c r="E22" s="43"/>
      <c r="F22" s="43"/>
      <c r="G22" s="34"/>
      <c r="H22" s="34"/>
      <c r="I22" s="67"/>
      <c r="J22" s="68"/>
      <c r="K22" s="69"/>
      <c r="L22" s="26"/>
      <c r="M22" s="26"/>
      <c r="R22" s="33">
        <f t="shared" si="0"/>
        <v>2</v>
      </c>
      <c r="S22" s="33">
        <f t="shared" si="1"/>
        <v>1</v>
      </c>
      <c r="T22" s="33">
        <f t="shared" si="2"/>
        <v>6</v>
      </c>
    </row>
    <row r="23" spans="1:20" s="25" customFormat="1" ht="13.5" x14ac:dyDescent="0.15">
      <c r="A23" s="52" t="str">
        <f>IF(B23&lt;&gt;"",表紙!$AB$1&amp;"-"&amp;"結合-"&amp;TEXT($S$1,"00")&amp;"-"&amp;TEXT(R23,"00")&amp;"-"&amp;TEXT(S23,"00")&amp;"-"&amp;TEXT(T23,"０00"),"")</f>
        <v/>
      </c>
      <c r="B23" s="26"/>
      <c r="C23" s="26"/>
      <c r="D23" s="26"/>
      <c r="E23" s="43"/>
      <c r="F23" s="43"/>
      <c r="G23" s="34"/>
      <c r="H23" s="34"/>
      <c r="I23" s="27"/>
      <c r="J23" s="28"/>
      <c r="K23" s="28"/>
      <c r="L23" s="26"/>
      <c r="M23" s="26"/>
      <c r="R23" s="33">
        <f t="shared" ref="R23" si="3">IF(ROW()&lt;&gt;3,IF(B22&lt;&gt;B23,R22+1,R22),1)</f>
        <v>2</v>
      </c>
      <c r="S23" s="33">
        <f t="shared" ref="S23" si="4">IF(B22=B23,IF(C22&lt;&gt;C23,S22+1,S22),1)</f>
        <v>1</v>
      </c>
      <c r="T23" s="33">
        <f t="shared" ref="T23" si="5">IF(B22&lt;&gt;B23,1,IF(C22=C23,T22+1,1))</f>
        <v>7</v>
      </c>
    </row>
    <row r="26" spans="1:20" x14ac:dyDescent="0.15">
      <c r="I26" s="19"/>
      <c r="J26" s="19"/>
      <c r="K26" s="19"/>
      <c r="L26" s="20"/>
      <c r="M26" s="20"/>
    </row>
    <row r="27" spans="1:20" x14ac:dyDescent="0.15">
      <c r="E27" s="19" t="s">
        <v>36</v>
      </c>
      <c r="F27" s="19">
        <f>COUNTIF($F$3:$F$23,E27)</f>
        <v>0</v>
      </c>
      <c r="I27" s="19"/>
      <c r="J27" s="19"/>
      <c r="K27" s="19"/>
      <c r="L27" s="20"/>
      <c r="M27" s="20"/>
    </row>
    <row r="28" spans="1:20" x14ac:dyDescent="0.15">
      <c r="E28" s="19" t="s">
        <v>37</v>
      </c>
      <c r="F28" s="19">
        <f>COUNTIF($F$3:$F$23,E28)</f>
        <v>0</v>
      </c>
      <c r="I28" s="19"/>
      <c r="J28" s="19"/>
      <c r="K28" s="19"/>
      <c r="L28" s="20"/>
      <c r="M28" s="20"/>
    </row>
    <row r="29" spans="1:20" x14ac:dyDescent="0.15">
      <c r="E29" s="19" t="s">
        <v>38</v>
      </c>
      <c r="F29" s="19">
        <f>COUNTIF($F$3:$F$23,E29)</f>
        <v>0</v>
      </c>
    </row>
  </sheetData>
  <autoFilter ref="A2:M23" xr:uid="{00000000-0001-0000-0300-000000000000}"/>
  <phoneticPr fontId="3"/>
  <conditionalFormatting sqref="R3:T23">
    <cfRule type="expression" dxfId="1" priority="77" stopIfTrue="1">
      <formula>IF(#REF!="○",TRUE,FALSE)</formula>
    </cfRule>
  </conditionalFormatting>
  <conditionalFormatting sqref="A3:M23">
    <cfRule type="expression" dxfId="0" priority="69">
      <formula>$M3&lt;&gt;""</formula>
    </cfRule>
  </conditionalFormatting>
  <dataValidations count="2">
    <dataValidation type="list" allowBlank="1" showInputMessage="1" showErrorMessage="1" sqref="E3:E23" xr:uid="{734A6667-EDD6-4F75-90E2-F23A6D7D2932}">
      <formula1>"正常,準正常,異常"</formula1>
    </dataValidation>
    <dataValidation type="list" allowBlank="1" showInputMessage="1" showErrorMessage="1" sqref="F3:F23" xr:uid="{4AAE7993-4B14-4230-B7C9-7F65F3354B67}">
      <formula1>"A,B,C"</formula1>
    </dataValidation>
  </dataValidations>
  <printOptions horizontalCentered="1"/>
  <pageMargins left="0.39370078740157483" right="0.39370078740157483" top="0.39370078740157483" bottom="0.39370078740157483" header="0" footer="0"/>
  <pageSetup paperSize="9" fitToHeight="25" orientation="landscape" r:id="rId1"/>
  <headerFooter alignWithMargins="0">
    <oddFooter>&amp;C&amp;P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表紙</vt:lpstr>
      <vt:lpstr>変更履歴</vt:lpstr>
      <vt:lpstr>集計</vt:lpstr>
      <vt:lpstr>1.結合試験</vt:lpstr>
      <vt:lpstr>'1.結合試験'!Print_Area</vt:lpstr>
      <vt:lpstr>表紙!Print_Area</vt:lpstr>
      <vt:lpstr>'1.結合試験'!Print_Titles</vt:lpstr>
    </vt:vector>
  </TitlesOfParts>
  <Company>NTTアドバンステクノロジ株式会社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平子 卓弥</dc:creator>
  <cp:lastModifiedBy>藤間 英輔</cp:lastModifiedBy>
  <cp:lastPrinted>2018-07-18T02:26:07Z</cp:lastPrinted>
  <dcterms:created xsi:type="dcterms:W3CDTF">2007-06-29T08:55:04Z</dcterms:created>
  <dcterms:modified xsi:type="dcterms:W3CDTF">2023-02-27T02:59:39Z</dcterms:modified>
</cp:coreProperties>
</file>