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npc-0004\51_3-1-3share\project\開発\02：NTTATS\空間ID開発\10：ドローン空間情報管理システム開発\60：IT\02：結合試験項目書\"/>
    </mc:Choice>
  </mc:AlternateContent>
  <xr:revisionPtr revIDLastSave="0" documentId="13_ncr:1_{A1EC3845-C04F-4131-A8DC-A1B844CC37FF}" xr6:coauthVersionLast="47" xr6:coauthVersionMax="47" xr10:uidLastSave="{00000000-0000-0000-0000-000000000000}"/>
  <bookViews>
    <workbookView xWindow="-120" yWindow="-120" windowWidth="29040" windowHeight="17640" tabRatio="872" activeTab="3" xr2:uid="{00000000-000D-0000-FFFF-FFFF00000000}"/>
  </bookViews>
  <sheets>
    <sheet name="表紙" sheetId="15" r:id="rId1"/>
    <sheet name="変更履歴" sheetId="37" r:id="rId2"/>
    <sheet name="集計" sheetId="35" r:id="rId3"/>
    <sheet name="1.結合試験" sheetId="27" r:id="rId4"/>
    <sheet name="【別紙1】1ボクセルに収まる線分マトリクス" sheetId="38" r:id="rId5"/>
    <sheet name="【別紙2】線分マトリクスパターン" sheetId="40" r:id="rId6"/>
    <sheet name="【別紙3】XYZ方向に長い線分の確認" sheetId="39" r:id="rId7"/>
    <sheet name="【別紙4】精度入力パターン" sheetId="41" r:id="rId8"/>
  </sheets>
  <definedNames>
    <definedName name="_xlnm._FilterDatabase" localSheetId="3" hidden="1">'1.結合試験'!$A$2:$M$107</definedName>
    <definedName name="_xlnm._FilterDatabase" localSheetId="1" hidden="1">#REF!</definedName>
    <definedName name="_xlnm._FilterDatabase" hidden="1">#REF!</definedName>
    <definedName name="HTML_CodePage" hidden="1">1</definedName>
    <definedName name="HTML_Control" localSheetId="4" hidden="1">{"'発注データ送信 確認事項'!$A$1:$D$28"}</definedName>
    <definedName name="HTML_Control" localSheetId="5" hidden="1">{"'発注データ送信 確認事項'!$A$1:$D$28"}</definedName>
    <definedName name="HTML_Control" localSheetId="6" hidden="1">{"'発注データ送信 確認事項'!$A$1:$D$28"}</definedName>
    <definedName name="HTML_Control" localSheetId="7" hidden="1">{"'発注データ送信 確認事項'!$A$1:$D$28"}</definedName>
    <definedName name="HTML_Control" localSheetId="1" hidden="1">{"'発注データ送信 確認事項'!$A$1:$D$28"}</definedName>
    <definedName name="HTML_Control" hidden="1">{"'発注データ送信 確認事項'!$A$1:$D$28"}</definedName>
    <definedName name="HTML_Description" hidden="1">""</definedName>
    <definedName name="HTML_Email" hidden="1">""</definedName>
    <definedName name="HTML_Header" hidden="1">"全銀確認事項"</definedName>
    <definedName name="HTML_LastUpdate" hidden="1">"00/03/23"</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"C:\MyDocuments\acms.html"</definedName>
    <definedName name="HTML_Title" hidden="1">"全銀確認事項"</definedName>
    <definedName name="Level2ManDays" localSheetId="4">【別紙1】1ボクセルに収まる線分マトリクス!Level2ManDays</definedName>
    <definedName name="Level2ManDays" localSheetId="5">【別紙2】線分マトリクスパターン!Level2ManDays</definedName>
    <definedName name="Level2ManDays" localSheetId="6">【別紙3】XYZ方向に長い線分の確認!Level2ManDays</definedName>
    <definedName name="Level2ManDays" localSheetId="7">【別紙4】精度入力パターン!Level2ManDays</definedName>
    <definedName name="Level2ManDays" localSheetId="1">変更履歴!Level2ManDays</definedName>
    <definedName name="Level2ManDays">[0]!Level2ManDays</definedName>
    <definedName name="_xlnm.Print_Area" localSheetId="3">'1.結合試験'!$A$1:$M$108</definedName>
    <definedName name="_xlnm.Print_Area" localSheetId="0">表紙!$A$1:$Z$37</definedName>
    <definedName name="_xlnm.Print_Titles" localSheetId="3">'1.結合試験'!$1:$2</definedName>
    <definedName name="q" localSheetId="4" hidden="1">{"'発注データ送信 確認事項'!$A$1:$D$28"}</definedName>
    <definedName name="q" localSheetId="5" hidden="1">{"'発注データ送信 確認事項'!$A$1:$D$28"}</definedName>
    <definedName name="q" localSheetId="6" hidden="1">{"'発注データ送信 確認事項'!$A$1:$D$28"}</definedName>
    <definedName name="q" localSheetId="7" hidden="1">{"'発注データ送信 確認事項'!$A$1:$D$28"}</definedName>
    <definedName name="q" localSheetId="1" hidden="1">{"'発注データ送信 確認事項'!$A$1:$D$28"}</definedName>
    <definedName name="q" hidden="1">{"'発注データ送信 確認事項'!$A$1:$D$28"}</definedName>
    <definedName name="Z_D7445B85_74CE_4E1E_92EA_69A1A19161E0_.wvu.PrintArea" localSheetId="0" hidden="1">表紙!$A$1:$Z$29</definedName>
    <definedName name="Z_D81FE437_5A70_4B95_9988_CCF676E08ADD_.wvu.PrintArea" localSheetId="0" hidden="1">表紙!$A$1:$Z$29</definedName>
    <definedName name="Z_FDE9EE51_6A00_4F0D_8742_D96597166ACA_.wvu.PrintArea" localSheetId="0" hidden="1">表紙!$A$1:$Z$29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94" i="27" l="1"/>
  <c r="T95" i="27" s="1"/>
  <c r="T96" i="27" s="1"/>
  <c r="T97" i="27" s="1"/>
  <c r="T98" i="27" s="1"/>
  <c r="T99" i="27" s="1"/>
  <c r="T100" i="27" s="1"/>
  <c r="T101" i="27" s="1"/>
  <c r="T102" i="27" s="1"/>
  <c r="T103" i="27" s="1"/>
  <c r="T104" i="27" s="1"/>
  <c r="T105" i="27" s="1"/>
  <c r="T106" i="27" s="1"/>
  <c r="T107" i="27" s="1"/>
  <c r="S94" i="27"/>
  <c r="S95" i="27" s="1"/>
  <c r="S96" i="27" s="1"/>
  <c r="S97" i="27" s="1"/>
  <c r="S98" i="27" s="1"/>
  <c r="S99" i="27" s="1"/>
  <c r="S100" i="27" s="1"/>
  <c r="S101" i="27" s="1"/>
  <c r="S102" i="27" s="1"/>
  <c r="S103" i="27" s="1"/>
  <c r="S104" i="27" s="1"/>
  <c r="S105" i="27" s="1"/>
  <c r="S106" i="27" s="1"/>
  <c r="S107" i="27" s="1"/>
  <c r="T90" i="27"/>
  <c r="T91" i="27" s="1"/>
  <c r="T92" i="27" s="1"/>
  <c r="T93" i="27" s="1"/>
  <c r="T86" i="27"/>
  <c r="T87" i="27" s="1"/>
  <c r="T88" i="27" s="1"/>
  <c r="T89" i="27" s="1"/>
  <c r="T84" i="27"/>
  <c r="T85" i="27" s="1"/>
  <c r="R84" i="27"/>
  <c r="R85" i="27" s="1"/>
  <c r="R86" i="27" s="1"/>
  <c r="R87" i="27" s="1"/>
  <c r="R88" i="27" s="1"/>
  <c r="R89" i="27" s="1"/>
  <c r="R90" i="27" s="1"/>
  <c r="R91" i="27" s="1"/>
  <c r="R92" i="27" s="1"/>
  <c r="R93" i="27" s="1"/>
  <c r="R94" i="27" s="1"/>
  <c r="R95" i="27" s="1"/>
  <c r="R96" i="27" s="1"/>
  <c r="R97" i="27" s="1"/>
  <c r="R98" i="27" s="1"/>
  <c r="R99" i="27" s="1"/>
  <c r="R100" i="27" s="1"/>
  <c r="R101" i="27" s="1"/>
  <c r="R102" i="27" s="1"/>
  <c r="R103" i="27" s="1"/>
  <c r="R104" i="27" s="1"/>
  <c r="R105" i="27" s="1"/>
  <c r="R106" i="27" s="1"/>
  <c r="R107" i="27" s="1"/>
  <c r="T83" i="27"/>
  <c r="S83" i="27"/>
  <c r="S84" i="27" s="1"/>
  <c r="S85" i="27" s="1"/>
  <c r="S86" i="27" s="1"/>
  <c r="S87" i="27" s="1"/>
  <c r="S88" i="27" s="1"/>
  <c r="S89" i="27" s="1"/>
  <c r="S90" i="27" s="1"/>
  <c r="S91" i="27" s="1"/>
  <c r="S92" i="27" s="1"/>
  <c r="S93" i="27" s="1"/>
  <c r="R83" i="27"/>
  <c r="K135" i="39" l="1"/>
  <c r="L135" i="39" s="1"/>
  <c r="K134" i="39"/>
  <c r="L134" i="39" s="1"/>
  <c r="K133" i="39"/>
  <c r="L133" i="39" s="1"/>
  <c r="K132" i="39"/>
  <c r="L132" i="39" s="1"/>
  <c r="K131" i="39"/>
  <c r="L131" i="39" s="1"/>
  <c r="K130" i="39"/>
  <c r="L130" i="39" s="1"/>
  <c r="K129" i="39"/>
  <c r="L129" i="39" s="1"/>
  <c r="K128" i="39"/>
  <c r="L128" i="39" s="1"/>
  <c r="K127" i="39"/>
  <c r="L127" i="39" s="1"/>
  <c r="K126" i="39"/>
  <c r="L126" i="39" s="1"/>
  <c r="K125" i="39"/>
  <c r="L125" i="39" s="1"/>
  <c r="K124" i="39"/>
  <c r="L124" i="39" s="1"/>
  <c r="K123" i="39"/>
  <c r="L123" i="39" s="1"/>
  <c r="K122" i="39"/>
  <c r="L122" i="39" s="1"/>
  <c r="K121" i="39"/>
  <c r="L121" i="39" s="1"/>
  <c r="K120" i="39"/>
  <c r="L120" i="39" s="1"/>
  <c r="K119" i="39"/>
  <c r="L119" i="39" s="1"/>
  <c r="K118" i="39"/>
  <c r="L118" i="39" s="1"/>
  <c r="K117" i="39"/>
  <c r="L117" i="39" s="1"/>
  <c r="K116" i="39"/>
  <c r="L116" i="39" s="1"/>
  <c r="K115" i="39"/>
  <c r="L115" i="39" s="1"/>
  <c r="K114" i="39"/>
  <c r="L114" i="39" s="1"/>
  <c r="K113" i="39"/>
  <c r="L113" i="39" s="1"/>
  <c r="K112" i="39"/>
  <c r="L112" i="39" s="1"/>
  <c r="K111" i="39"/>
  <c r="L111" i="39" s="1"/>
  <c r="K110" i="39"/>
  <c r="L110" i="39" s="1"/>
  <c r="K109" i="39"/>
  <c r="L109" i="39" s="1"/>
  <c r="K108" i="39"/>
  <c r="L108" i="39" s="1"/>
  <c r="K107" i="39"/>
  <c r="L107" i="39" s="1"/>
  <c r="K106" i="39"/>
  <c r="L106" i="39" s="1"/>
  <c r="K105" i="39"/>
  <c r="L105" i="39" s="1"/>
  <c r="K104" i="39"/>
  <c r="L104" i="39" s="1"/>
  <c r="J14" i="38"/>
  <c r="I14" i="38"/>
  <c r="H14" i="38"/>
  <c r="G14" i="38"/>
  <c r="F14" i="38"/>
  <c r="E14" i="38"/>
  <c r="D14" i="38"/>
  <c r="K13" i="38"/>
  <c r="I13" i="38"/>
  <c r="H13" i="38"/>
  <c r="G13" i="38"/>
  <c r="F13" i="38"/>
  <c r="E13" i="38"/>
  <c r="D13" i="38"/>
  <c r="K12" i="38"/>
  <c r="J12" i="38"/>
  <c r="H12" i="38"/>
  <c r="G12" i="38"/>
  <c r="F12" i="38"/>
  <c r="E12" i="38"/>
  <c r="D12" i="38"/>
  <c r="K11" i="38"/>
  <c r="J11" i="38"/>
  <c r="I11" i="38"/>
  <c r="G11" i="38"/>
  <c r="F11" i="38"/>
  <c r="E11" i="38"/>
  <c r="D11" i="38"/>
  <c r="K10" i="38"/>
  <c r="J10" i="38"/>
  <c r="I10" i="38"/>
  <c r="H10" i="38"/>
  <c r="F10" i="38"/>
  <c r="E10" i="38"/>
  <c r="D10" i="38"/>
  <c r="K9" i="38"/>
  <c r="J9" i="38"/>
  <c r="I9" i="38"/>
  <c r="H9" i="38"/>
  <c r="G9" i="38"/>
  <c r="E9" i="38"/>
  <c r="D9" i="38"/>
  <c r="K8" i="38"/>
  <c r="J8" i="38"/>
  <c r="I8" i="38"/>
  <c r="H8" i="38"/>
  <c r="G8" i="38"/>
  <c r="F8" i="38"/>
  <c r="D8" i="38"/>
  <c r="K7" i="38"/>
  <c r="J7" i="38"/>
  <c r="I7" i="38"/>
  <c r="H7" i="38"/>
  <c r="G7" i="38"/>
  <c r="F7" i="38"/>
  <c r="E7" i="38"/>
  <c r="A107" i="27" l="1"/>
  <c r="A106" i="27"/>
  <c r="A105" i="27"/>
  <c r="A104" i="27"/>
  <c r="A103" i="27"/>
  <c r="A102" i="27"/>
  <c r="A101" i="27"/>
  <c r="A100" i="27"/>
  <c r="A99" i="27"/>
  <c r="A98" i="27"/>
  <c r="A97" i="27"/>
  <c r="A96" i="27"/>
  <c r="A95" i="27"/>
  <c r="A94" i="27"/>
  <c r="B7" i="15"/>
  <c r="F113" i="27" l="1"/>
  <c r="F112" i="27"/>
  <c r="F111" i="27"/>
  <c r="B20" i="15" l="1"/>
  <c r="A1" i="27" l="1"/>
  <c r="S1" i="27"/>
  <c r="A85" i="27" s="1"/>
  <c r="T3" i="27"/>
  <c r="T4" i="27" s="1"/>
  <c r="T5" i="27" s="1"/>
  <c r="T6" i="27" s="1"/>
  <c r="T7" i="27" s="1"/>
  <c r="T8" i="27" s="1"/>
  <c r="T9" i="27" s="1"/>
  <c r="T10" i="27" s="1"/>
  <c r="T11" i="27" s="1"/>
  <c r="T12" i="27" s="1"/>
  <c r="T13" i="27" s="1"/>
  <c r="T14" i="27" s="1"/>
  <c r="T15" i="27" s="1"/>
  <c r="T16" i="27" s="1"/>
  <c r="T17" i="27" s="1"/>
  <c r="T18" i="27" s="1"/>
  <c r="T19" i="27" s="1"/>
  <c r="T20" i="27" s="1"/>
  <c r="T21" i="27" s="1"/>
  <c r="T22" i="27" s="1"/>
  <c r="T23" i="27" s="1"/>
  <c r="T24" i="27" s="1"/>
  <c r="T25" i="27" s="1"/>
  <c r="T26" i="27" s="1"/>
  <c r="T27" i="27" s="1"/>
  <c r="T28" i="27" s="1"/>
  <c r="T29" i="27" s="1"/>
  <c r="T30" i="27" s="1"/>
  <c r="T31" i="27" s="1"/>
  <c r="T32" i="27" s="1"/>
  <c r="T33" i="27" s="1"/>
  <c r="T34" i="27" s="1"/>
  <c r="T35" i="27" s="1"/>
  <c r="T36" i="27" s="1"/>
  <c r="T37" i="27" s="1"/>
  <c r="T38" i="27" s="1"/>
  <c r="T39" i="27" s="1"/>
  <c r="T40" i="27" s="1"/>
  <c r="T41" i="27" s="1"/>
  <c r="T42" i="27" s="1"/>
  <c r="T43" i="27" s="1"/>
  <c r="T44" i="27" s="1"/>
  <c r="T45" i="27" s="1"/>
  <c r="T46" i="27" s="1"/>
  <c r="T47" i="27" s="1"/>
  <c r="T48" i="27" s="1"/>
  <c r="T49" i="27" s="1"/>
  <c r="T50" i="27" s="1"/>
  <c r="T51" i="27" s="1"/>
  <c r="T52" i="27" s="1"/>
  <c r="T53" i="27" s="1"/>
  <c r="T54" i="27" s="1"/>
  <c r="T55" i="27" s="1"/>
  <c r="T56" i="27" s="1"/>
  <c r="T57" i="27" s="1"/>
  <c r="T58" i="27" s="1"/>
  <c r="T59" i="27" s="1"/>
  <c r="T60" i="27" s="1"/>
  <c r="T61" i="27" s="1"/>
  <c r="T62" i="27" s="1"/>
  <c r="T63" i="27" s="1"/>
  <c r="T64" i="27" s="1"/>
  <c r="T65" i="27" s="1"/>
  <c r="T66" i="27" s="1"/>
  <c r="T67" i="27" s="1"/>
  <c r="T68" i="27" s="1"/>
  <c r="T69" i="27" s="1"/>
  <c r="T70" i="27" s="1"/>
  <c r="T71" i="27" s="1"/>
  <c r="T72" i="27" s="1"/>
  <c r="T73" i="27" s="1"/>
  <c r="T74" i="27" s="1"/>
  <c r="T75" i="27" s="1"/>
  <c r="T76" i="27" s="1"/>
  <c r="T77" i="27" s="1"/>
  <c r="T78" i="27" s="1"/>
  <c r="T79" i="27" s="1"/>
  <c r="T80" i="27" s="1"/>
  <c r="T81" i="27" s="1"/>
  <c r="T82" i="27" s="1"/>
  <c r="S3" i="27"/>
  <c r="S4" i="27" s="1"/>
  <c r="S5" i="27" s="1"/>
  <c r="S6" i="27" s="1"/>
  <c r="S7" i="27" s="1"/>
  <c r="S8" i="27" s="1"/>
  <c r="S9" i="27" s="1"/>
  <c r="S10" i="27" s="1"/>
  <c r="S11" i="27" s="1"/>
  <c r="S12" i="27" s="1"/>
  <c r="S13" i="27" s="1"/>
  <c r="S14" i="27" s="1"/>
  <c r="S15" i="27" s="1"/>
  <c r="S16" i="27" s="1"/>
  <c r="S17" i="27" s="1"/>
  <c r="S18" i="27" s="1"/>
  <c r="S19" i="27" s="1"/>
  <c r="S20" i="27" s="1"/>
  <c r="S21" i="27" s="1"/>
  <c r="S22" i="27" s="1"/>
  <c r="S23" i="27" s="1"/>
  <c r="S24" i="27" s="1"/>
  <c r="S25" i="27" s="1"/>
  <c r="S26" i="27" s="1"/>
  <c r="S27" i="27" s="1"/>
  <c r="S28" i="27" s="1"/>
  <c r="S29" i="27" s="1"/>
  <c r="S30" i="27" s="1"/>
  <c r="S31" i="27" s="1"/>
  <c r="S32" i="27" s="1"/>
  <c r="S33" i="27" s="1"/>
  <c r="S34" i="27" s="1"/>
  <c r="S35" i="27" s="1"/>
  <c r="S36" i="27" s="1"/>
  <c r="S37" i="27" s="1"/>
  <c r="S38" i="27" s="1"/>
  <c r="S39" i="27" s="1"/>
  <c r="S40" i="27" s="1"/>
  <c r="S41" i="27" s="1"/>
  <c r="S42" i="27" s="1"/>
  <c r="S43" i="27" s="1"/>
  <c r="S44" i="27" s="1"/>
  <c r="S45" i="27" s="1"/>
  <c r="S46" i="27" s="1"/>
  <c r="S47" i="27" s="1"/>
  <c r="S48" i="27" s="1"/>
  <c r="S49" i="27" s="1"/>
  <c r="S50" i="27" s="1"/>
  <c r="S51" i="27" s="1"/>
  <c r="S52" i="27" s="1"/>
  <c r="S53" i="27" s="1"/>
  <c r="S54" i="27" s="1"/>
  <c r="S55" i="27" s="1"/>
  <c r="S56" i="27" s="1"/>
  <c r="S57" i="27" s="1"/>
  <c r="S58" i="27" s="1"/>
  <c r="S59" i="27" s="1"/>
  <c r="S60" i="27" s="1"/>
  <c r="S61" i="27" s="1"/>
  <c r="S62" i="27" s="1"/>
  <c r="S63" i="27" s="1"/>
  <c r="S64" i="27" s="1"/>
  <c r="S65" i="27" s="1"/>
  <c r="S66" i="27" s="1"/>
  <c r="S67" i="27" s="1"/>
  <c r="S68" i="27" s="1"/>
  <c r="S69" i="27" s="1"/>
  <c r="S70" i="27" s="1"/>
  <c r="S71" i="27" s="1"/>
  <c r="S72" i="27" s="1"/>
  <c r="S73" i="27" s="1"/>
  <c r="S74" i="27" s="1"/>
  <c r="S75" i="27" s="1"/>
  <c r="S76" i="27" s="1"/>
  <c r="S77" i="27" s="1"/>
  <c r="S78" i="27" s="1"/>
  <c r="S79" i="27" s="1"/>
  <c r="R3" i="27"/>
  <c r="R4" i="27" s="1"/>
  <c r="R5" i="27" s="1"/>
  <c r="R6" i="27" s="1"/>
  <c r="R7" i="27" s="1"/>
  <c r="R8" i="27" s="1"/>
  <c r="R9" i="27" s="1"/>
  <c r="R10" i="27" s="1"/>
  <c r="R11" i="27" s="1"/>
  <c r="R12" i="27" s="1"/>
  <c r="R13" i="27" s="1"/>
  <c r="R14" i="27" s="1"/>
  <c r="R15" i="27" s="1"/>
  <c r="R16" i="27" s="1"/>
  <c r="R17" i="27" s="1"/>
  <c r="R18" i="27" s="1"/>
  <c r="R19" i="27" s="1"/>
  <c r="R20" i="27" s="1"/>
  <c r="R21" i="27" s="1"/>
  <c r="R22" i="27" s="1"/>
  <c r="R23" i="27" s="1"/>
  <c r="R24" i="27" s="1"/>
  <c r="R25" i="27" s="1"/>
  <c r="R26" i="27" s="1"/>
  <c r="R27" i="27" s="1"/>
  <c r="R28" i="27" s="1"/>
  <c r="R29" i="27" s="1"/>
  <c r="R30" i="27" s="1"/>
  <c r="R31" i="27" s="1"/>
  <c r="R32" i="27" s="1"/>
  <c r="R33" i="27" s="1"/>
  <c r="R34" i="27" s="1"/>
  <c r="R35" i="27" s="1"/>
  <c r="R36" i="27" s="1"/>
  <c r="R37" i="27" s="1"/>
  <c r="R38" i="27" s="1"/>
  <c r="R39" i="27" s="1"/>
  <c r="R40" i="27" s="1"/>
  <c r="R41" i="27" s="1"/>
  <c r="R42" i="27" s="1"/>
  <c r="R43" i="27" s="1"/>
  <c r="R44" i="27" s="1"/>
  <c r="R45" i="27" s="1"/>
  <c r="R46" i="27" s="1"/>
  <c r="R47" i="27" s="1"/>
  <c r="R48" i="27" s="1"/>
  <c r="R49" i="27" s="1"/>
  <c r="R50" i="27" s="1"/>
  <c r="R51" i="27" s="1"/>
  <c r="R52" i="27" s="1"/>
  <c r="R53" i="27" s="1"/>
  <c r="R54" i="27" s="1"/>
  <c r="R55" i="27" s="1"/>
  <c r="R56" i="27" s="1"/>
  <c r="R57" i="27" s="1"/>
  <c r="R58" i="27" s="1"/>
  <c r="R59" i="27" s="1"/>
  <c r="R60" i="27" s="1"/>
  <c r="R61" i="27" s="1"/>
  <c r="R62" i="27" s="1"/>
  <c r="R63" i="27" s="1"/>
  <c r="R64" i="27" s="1"/>
  <c r="R65" i="27" s="1"/>
  <c r="R66" i="27" s="1"/>
  <c r="R67" i="27" s="1"/>
  <c r="R68" i="27" s="1"/>
  <c r="R69" i="27" s="1"/>
  <c r="R70" i="27" s="1"/>
  <c r="R71" i="27" s="1"/>
  <c r="R72" i="27" s="1"/>
  <c r="R73" i="27" s="1"/>
  <c r="R74" i="27" s="1"/>
  <c r="R75" i="27" s="1"/>
  <c r="R76" i="27" s="1"/>
  <c r="R77" i="27" s="1"/>
  <c r="A83" i="27" l="1"/>
  <c r="A84" i="27"/>
  <c r="R78" i="27"/>
  <c r="R79" i="27" s="1"/>
  <c r="S80" i="27"/>
  <c r="S81" i="27" s="1"/>
  <c r="S82" i="27" s="1"/>
  <c r="A76" i="27"/>
  <c r="A77" i="27"/>
  <c r="A75" i="27"/>
  <c r="A4" i="27"/>
  <c r="A74" i="27"/>
  <c r="A70" i="27"/>
  <c r="A66" i="27"/>
  <c r="A62" i="27"/>
  <c r="A58" i="27"/>
  <c r="A54" i="27"/>
  <c r="A50" i="27"/>
  <c r="A46" i="27"/>
  <c r="A42" i="27"/>
  <c r="A38" i="27"/>
  <c r="A34" i="27"/>
  <c r="A30" i="27"/>
  <c r="A26" i="27"/>
  <c r="A22" i="27"/>
  <c r="A18" i="27"/>
  <c r="A14" i="27"/>
  <c r="A10" i="27"/>
  <c r="A6" i="27"/>
  <c r="A67" i="27"/>
  <c r="A55" i="27"/>
  <c r="A39" i="27"/>
  <c r="A27" i="27"/>
  <c r="A11" i="27"/>
  <c r="A73" i="27"/>
  <c r="A69" i="27"/>
  <c r="A65" i="27"/>
  <c r="A61" i="27"/>
  <c r="A57" i="27"/>
  <c r="A53" i="27"/>
  <c r="A49" i="27"/>
  <c r="A45" i="27"/>
  <c r="A41" i="27"/>
  <c r="A37" i="27"/>
  <c r="A33" i="27"/>
  <c r="A29" i="27"/>
  <c r="A25" i="27"/>
  <c r="A21" i="27"/>
  <c r="A17" i="27"/>
  <c r="A13" i="27"/>
  <c r="A9" i="27"/>
  <c r="A5" i="27"/>
  <c r="A71" i="27"/>
  <c r="A59" i="27"/>
  <c r="A47" i="27"/>
  <c r="A35" i="27"/>
  <c r="A23" i="27"/>
  <c r="A15" i="27"/>
  <c r="A72" i="27"/>
  <c r="M78" i="27" s="1"/>
  <c r="A68" i="27"/>
  <c r="A64" i="27"/>
  <c r="A60" i="27"/>
  <c r="A56" i="27"/>
  <c r="A52" i="27"/>
  <c r="A48" i="27"/>
  <c r="A44" i="27"/>
  <c r="A40" i="27"/>
  <c r="A36" i="27"/>
  <c r="A32" i="27"/>
  <c r="A28" i="27"/>
  <c r="A24" i="27"/>
  <c r="A20" i="27"/>
  <c r="A16" i="27"/>
  <c r="A12" i="27"/>
  <c r="A8" i="27"/>
  <c r="A63" i="27"/>
  <c r="A51" i="27"/>
  <c r="A43" i="27"/>
  <c r="A31" i="27"/>
  <c r="A19" i="27"/>
  <c r="A7" i="27"/>
  <c r="A3" i="27"/>
  <c r="A78" i="27" l="1"/>
  <c r="R80" i="27"/>
  <c r="R81" i="27" s="1"/>
  <c r="A79" i="27"/>
  <c r="R82" i="27" l="1"/>
  <c r="A81" i="27"/>
  <c r="A80" i="27"/>
  <c r="A82" i="27" l="1"/>
  <c r="A86" i="27"/>
  <c r="A87" i="27" l="1"/>
  <c r="M88" i="27" s="1"/>
  <c r="A88" i="27" l="1"/>
  <c r="A89" i="27" l="1"/>
  <c r="A90" i="27" l="1"/>
  <c r="A91" i="27" l="1"/>
  <c r="M92" i="27" s="1"/>
  <c r="D3" i="35" a="1"/>
  <c r="D11" i="35" a="1"/>
  <c r="D9" i="35" a="1"/>
  <c r="D10" i="35" a="1"/>
  <c r="D11" i="35" l="1"/>
  <c r="D3" i="35"/>
  <c r="D4" i="35" s="1"/>
  <c r="D10" i="35"/>
  <c r="D9" i="35"/>
  <c r="A92" i="27"/>
  <c r="D8" i="35" l="1"/>
  <c r="C3" i="35" s="1"/>
  <c r="A93" i="27"/>
  <c r="C4" i="35" l="1"/>
  <c r="E3" i="35"/>
  <c r="E4" i="3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<sst xmlns="http://schemas.openxmlformats.org/spreadsheetml/2006/main" count="1263" uniqueCount="593">
  <si>
    <t>日時</t>
    <rPh sb="0" eb="2">
      <t>ニチジ</t>
    </rPh>
    <phoneticPr fontId="3"/>
  </si>
  <si>
    <t>版</t>
    <rPh sb="0" eb="1">
      <t>ハン</t>
    </rPh>
    <phoneticPr fontId="3"/>
  </si>
  <si>
    <t>作業者</t>
    <rPh sb="0" eb="3">
      <t>サギョウシャ</t>
    </rPh>
    <phoneticPr fontId="3"/>
  </si>
  <si>
    <t>変更内容</t>
    <rPh sb="0" eb="2">
      <t>ヘンコウ</t>
    </rPh>
    <rPh sb="2" eb="4">
      <t>ナイヨウ</t>
    </rPh>
    <phoneticPr fontId="3"/>
  </si>
  <si>
    <t>No</t>
    <phoneticPr fontId="3"/>
  </si>
  <si>
    <t>大項目</t>
    <rPh sb="0" eb="3">
      <t>ダイコウモク</t>
    </rPh>
    <phoneticPr fontId="3"/>
  </si>
  <si>
    <t>中項目</t>
    <rPh sb="0" eb="1">
      <t>チュウ</t>
    </rPh>
    <rPh sb="1" eb="3">
      <t>コウモク</t>
    </rPh>
    <phoneticPr fontId="3"/>
  </si>
  <si>
    <t>小項目</t>
    <rPh sb="0" eb="3">
      <t>ショウコウモク</t>
    </rPh>
    <phoneticPr fontId="3"/>
  </si>
  <si>
    <t>試験日</t>
    <rPh sb="0" eb="3">
      <t>シケンビ</t>
    </rPh>
    <phoneticPr fontId="3"/>
  </si>
  <si>
    <t>試験者</t>
    <rPh sb="0" eb="2">
      <t>シケン</t>
    </rPh>
    <rPh sb="2" eb="3">
      <t>シャ</t>
    </rPh>
    <phoneticPr fontId="3"/>
  </si>
  <si>
    <t>試験結果</t>
    <rPh sb="0" eb="2">
      <t>シケン</t>
    </rPh>
    <rPh sb="2" eb="4">
      <t>ケッカ</t>
    </rPh>
    <phoneticPr fontId="3"/>
  </si>
  <si>
    <t>全ページ</t>
    <rPh sb="0" eb="1">
      <t>ゼン</t>
    </rPh>
    <phoneticPr fontId="3"/>
  </si>
  <si>
    <t>新規改定</t>
    <rPh sb="0" eb="2">
      <t>シンキ</t>
    </rPh>
    <rPh sb="2" eb="4">
      <t>カイテイ</t>
    </rPh>
    <phoneticPr fontId="3"/>
  </si>
  <si>
    <t>大番号</t>
    <rPh sb="0" eb="3">
      <t>ダイバンゴウ</t>
    </rPh>
    <phoneticPr fontId="3"/>
  </si>
  <si>
    <t>中番号</t>
    <rPh sb="0" eb="1">
      <t>チュウ</t>
    </rPh>
    <rPh sb="1" eb="3">
      <t>バンゴウ</t>
    </rPh>
    <phoneticPr fontId="3"/>
  </si>
  <si>
    <t>小番号</t>
    <rPh sb="0" eb="3">
      <t>ショウバンゴウ</t>
    </rPh>
    <phoneticPr fontId="3"/>
  </si>
  <si>
    <t>シート番号</t>
    <rPh sb="3" eb="5">
      <t>バンゴウ</t>
    </rPh>
    <phoneticPr fontId="3"/>
  </si>
  <si>
    <t>備考</t>
    <rPh sb="0" eb="2">
      <t>ビコウ</t>
    </rPh>
    <phoneticPr fontId="3"/>
  </si>
  <si>
    <t>重複項目</t>
    <rPh sb="0" eb="2">
      <t>チョウフク</t>
    </rPh>
    <rPh sb="2" eb="4">
      <t>コウモク</t>
    </rPh>
    <phoneticPr fontId="3"/>
  </si>
  <si>
    <t>全項目数</t>
    <phoneticPr fontId="3"/>
  </si>
  <si>
    <t>実施済み</t>
    <rPh sb="0" eb="2">
      <t>ジッシ</t>
    </rPh>
    <rPh sb="2" eb="3">
      <t>ズ</t>
    </rPh>
    <phoneticPr fontId="3"/>
  </si>
  <si>
    <t>未実施</t>
    <rPh sb="0" eb="3">
      <t>ミジッシ</t>
    </rPh>
    <phoneticPr fontId="3"/>
  </si>
  <si>
    <t>計</t>
    <rPh sb="0" eb="1">
      <t>ケイ</t>
    </rPh>
    <phoneticPr fontId="3"/>
  </si>
  <si>
    <t>集計</t>
    <rPh sb="0" eb="2">
      <t>シュウケイ</t>
    </rPh>
    <phoneticPr fontId="3"/>
  </si>
  <si>
    <t>試験シート</t>
    <rPh sb="0" eb="2">
      <t>シケン</t>
    </rPh>
    <phoneticPr fontId="3"/>
  </si>
  <si>
    <t>変更箇所</t>
    <rPh sb="0" eb="2">
      <t>ヘンコウ</t>
    </rPh>
    <rPh sb="2" eb="4">
      <t>カショ</t>
    </rPh>
    <phoneticPr fontId="3"/>
  </si>
  <si>
    <t>試験種別</t>
    <rPh sb="0" eb="2">
      <t>シケン</t>
    </rPh>
    <rPh sb="2" eb="4">
      <t>シュベツ</t>
    </rPh>
    <phoneticPr fontId="3"/>
  </si>
  <si>
    <t>試験項目数内訳</t>
    <rPh sb="0" eb="2">
      <t>シケン</t>
    </rPh>
    <rPh sb="2" eb="4">
      <t>コウモク</t>
    </rPh>
    <rPh sb="4" eb="5">
      <t>スウ</t>
    </rPh>
    <rPh sb="5" eb="7">
      <t>ウチワケ</t>
    </rPh>
    <phoneticPr fontId="3"/>
  </si>
  <si>
    <t>全項目数</t>
    <rPh sb="0" eb="1">
      <t>ゼン</t>
    </rPh>
    <rPh sb="1" eb="4">
      <t>コウモクスウ</t>
    </rPh>
    <phoneticPr fontId="3"/>
  </si>
  <si>
    <t>正常</t>
    <phoneticPr fontId="3"/>
  </si>
  <si>
    <t>準正常</t>
    <phoneticPr fontId="3"/>
  </si>
  <si>
    <t>異常</t>
    <rPh sb="0" eb="2">
      <t>イジョウ</t>
    </rPh>
    <phoneticPr fontId="3"/>
  </si>
  <si>
    <t>優先度</t>
    <rPh sb="0" eb="3">
      <t>ユウセンド</t>
    </rPh>
    <phoneticPr fontId="3"/>
  </si>
  <si>
    <t>OK, NG</t>
    <phoneticPr fontId="3"/>
  </si>
  <si>
    <t>α</t>
    <phoneticPr fontId="3"/>
  </si>
  <si>
    <t>A</t>
    <phoneticPr fontId="3"/>
  </si>
  <si>
    <t>B</t>
    <phoneticPr fontId="3"/>
  </si>
  <si>
    <t>C</t>
    <phoneticPr fontId="3"/>
  </si>
  <si>
    <t>確認内容</t>
    <rPh sb="0" eb="4">
      <t>カクニンナイヨウ</t>
    </rPh>
    <phoneticPr fontId="3"/>
  </si>
  <si>
    <t>確認手順</t>
    <rPh sb="0" eb="2">
      <t>カクニン</t>
    </rPh>
    <rPh sb="2" eb="4">
      <t>テジュン</t>
    </rPh>
    <phoneticPr fontId="3"/>
  </si>
  <si>
    <t>1.結合試験</t>
    <rPh sb="2" eb="4">
      <t>ケツゴウ</t>
    </rPh>
    <rPh sb="4" eb="6">
      <t>シケン</t>
    </rPh>
    <phoneticPr fontId="3"/>
  </si>
  <si>
    <t>結合試験項目書</t>
    <rPh sb="0" eb="2">
      <t>ケツゴウ</t>
    </rPh>
    <rPh sb="2" eb="4">
      <t>シケン</t>
    </rPh>
    <rPh sb="4" eb="6">
      <t>コウモク</t>
    </rPh>
    <phoneticPr fontId="3"/>
  </si>
  <si>
    <t>線分</t>
    <rPh sb="0" eb="2">
      <t>センブン</t>
    </rPh>
    <phoneticPr fontId="3"/>
  </si>
  <si>
    <t>■ 1ボクセルに収まる線分のマトリクス確認</t>
    <rPh sb="8" eb="9">
      <t>オサ</t>
    </rPh>
    <rPh sb="11" eb="13">
      <t>センブン</t>
    </rPh>
    <rPh sb="19" eb="21">
      <t>カクニン</t>
    </rPh>
    <phoneticPr fontId="32"/>
  </si>
  <si>
    <t>○</t>
    <phoneticPr fontId="3"/>
  </si>
  <si>
    <t>行（始点）、列（終点）として判定を行う（以下は大きさ1のボクセルとして記載する）</t>
    <rPh sb="0" eb="1">
      <t>ギョウ</t>
    </rPh>
    <rPh sb="2" eb="4">
      <t>シテン</t>
    </rPh>
    <rPh sb="6" eb="7">
      <t>レツ</t>
    </rPh>
    <rPh sb="8" eb="10">
      <t>シュウテン</t>
    </rPh>
    <rPh sb="14" eb="16">
      <t>ハンテイ</t>
    </rPh>
    <rPh sb="17" eb="18">
      <t>オコナ</t>
    </rPh>
    <rPh sb="20" eb="22">
      <t>イカ</t>
    </rPh>
    <rPh sb="23" eb="24">
      <t>オオ</t>
    </rPh>
    <rPh sb="35" eb="37">
      <t>キサイ</t>
    </rPh>
    <phoneticPr fontId="32"/>
  </si>
  <si>
    <t>終点</t>
    <rPh sb="0" eb="2">
      <t>シュウテン</t>
    </rPh>
    <phoneticPr fontId="3"/>
  </si>
  <si>
    <t>(0,0,0)</t>
    <phoneticPr fontId="32"/>
  </si>
  <si>
    <t>(1,0,0)</t>
    <phoneticPr fontId="32"/>
  </si>
  <si>
    <t>(0,1,0)</t>
    <phoneticPr fontId="32"/>
  </si>
  <si>
    <t>(0,0,1)</t>
    <phoneticPr fontId="32"/>
  </si>
  <si>
    <t>(1,1,0)</t>
    <phoneticPr fontId="32"/>
  </si>
  <si>
    <t>(0,1,1)</t>
    <phoneticPr fontId="32"/>
  </si>
  <si>
    <t>(1,0,1)</t>
    <phoneticPr fontId="32"/>
  </si>
  <si>
    <t>(1,1,1)</t>
    <phoneticPr fontId="32"/>
  </si>
  <si>
    <t>始点</t>
    <rPh sb="0" eb="2">
      <t>シテン</t>
    </rPh>
    <phoneticPr fontId="3"/>
  </si>
  <si>
    <t>-</t>
    <phoneticPr fontId="32"/>
  </si>
  <si>
    <t>1) 任意の空間IDから頂点座標を取得し、網羅パターンの組み合わせで始点、終点を選択する。</t>
    <rPh sb="3" eb="5">
      <t>ニンイ</t>
    </rPh>
    <rPh sb="6" eb="8">
      <t>クウカン</t>
    </rPh>
    <rPh sb="12" eb="14">
      <t>チョウテン</t>
    </rPh>
    <rPh sb="14" eb="16">
      <t>ザヒョウ</t>
    </rPh>
    <rPh sb="17" eb="19">
      <t>シュトク</t>
    </rPh>
    <rPh sb="21" eb="23">
      <t>モウラ</t>
    </rPh>
    <rPh sb="28" eb="29">
      <t>ク</t>
    </rPh>
    <rPh sb="30" eb="31">
      <t>ア</t>
    </rPh>
    <rPh sb="34" eb="36">
      <t>シテン</t>
    </rPh>
    <rPh sb="37" eb="39">
      <t>シュウテン</t>
    </rPh>
    <rPh sb="40" eb="42">
      <t>センタク</t>
    </rPh>
    <phoneticPr fontId="3"/>
  </si>
  <si>
    <t>点座標</t>
    <rPh sb="0" eb="1">
      <t>テン</t>
    </rPh>
    <rPh sb="1" eb="3">
      <t>ザヒョウ</t>
    </rPh>
    <phoneticPr fontId="3"/>
  </si>
  <si>
    <t>頂点取得時の対応</t>
    <rPh sb="0" eb="2">
      <t>チョウテン</t>
    </rPh>
    <rPh sb="2" eb="4">
      <t>シュトク</t>
    </rPh>
    <rPh sb="4" eb="5">
      <t>ジ</t>
    </rPh>
    <rPh sb="6" eb="8">
      <t>タイオウ</t>
    </rPh>
    <phoneticPr fontId="3"/>
  </si>
  <si>
    <t>2) 線分のAPIから以下の空間IDが返却されることを確認する。</t>
    <rPh sb="3" eb="5">
      <t>センブン</t>
    </rPh>
    <rPh sb="11" eb="13">
      <t>イカ</t>
    </rPh>
    <rPh sb="14" eb="16">
      <t>クウカン</t>
    </rPh>
    <rPh sb="19" eb="21">
      <t>ヘンキャク</t>
    </rPh>
    <rPh sb="27" eb="29">
      <t>カクニン</t>
    </rPh>
    <phoneticPr fontId="3"/>
  </si>
  <si>
    <t>　・始点から取得できる空間IDが返却されていること(※1)</t>
    <rPh sb="2" eb="4">
      <t>シテン</t>
    </rPh>
    <rPh sb="6" eb="8">
      <t>シュトク</t>
    </rPh>
    <rPh sb="11" eb="13">
      <t>クウカン</t>
    </rPh>
    <rPh sb="16" eb="18">
      <t>ヘンキャク</t>
    </rPh>
    <phoneticPr fontId="3"/>
  </si>
  <si>
    <t>　・終点から取得できる空間IDが返却されていること(※1)</t>
    <rPh sb="2" eb="4">
      <t>シュウテン</t>
    </rPh>
    <rPh sb="6" eb="8">
      <t>シュトク</t>
    </rPh>
    <rPh sb="11" eb="13">
      <t>クウカン</t>
    </rPh>
    <rPh sb="16" eb="18">
      <t>ヘンキャク</t>
    </rPh>
    <phoneticPr fontId="3"/>
  </si>
  <si>
    <t>　・始点、終点間の辺が所属する空間IDが返却されていること(※2)</t>
    <rPh sb="2" eb="4">
      <t>シテン</t>
    </rPh>
    <rPh sb="5" eb="7">
      <t>シュウテン</t>
    </rPh>
    <rPh sb="7" eb="8">
      <t>カン</t>
    </rPh>
    <rPh sb="9" eb="10">
      <t>ヘン</t>
    </rPh>
    <rPh sb="11" eb="13">
      <t>ショゾク</t>
    </rPh>
    <rPh sb="15" eb="17">
      <t>クウカン</t>
    </rPh>
    <rPh sb="20" eb="22">
      <t>ヘンキャク</t>
    </rPh>
    <phoneticPr fontId="3"/>
  </si>
  <si>
    <t>※1 点がボクセル頂点上の場合</t>
    <rPh sb="3" eb="4">
      <t>テン</t>
    </rPh>
    <rPh sb="9" eb="11">
      <t>チョウテン</t>
    </rPh>
    <rPh sb="11" eb="12">
      <t>ジョウ</t>
    </rPh>
    <rPh sb="13" eb="15">
      <t>バアイ</t>
    </rPh>
    <phoneticPr fontId="3"/>
  </si>
  <si>
    <t>　　　- X成分の場合、X座標が正方向の空間IDが取得できること</t>
    <rPh sb="6" eb="8">
      <t>セイブン</t>
    </rPh>
    <rPh sb="9" eb="11">
      <t>バアイ</t>
    </rPh>
    <rPh sb="13" eb="15">
      <t>ザヒョウ</t>
    </rPh>
    <rPh sb="16" eb="19">
      <t>セイホウコウ</t>
    </rPh>
    <rPh sb="20" eb="22">
      <t>クウカン</t>
    </rPh>
    <rPh sb="25" eb="27">
      <t>シュトク</t>
    </rPh>
    <phoneticPr fontId="3"/>
  </si>
  <si>
    <t>　　　　 "10/10/10/10/10"の(0, Y, Z)頂点の場合："10/10/10/10/10"</t>
    <rPh sb="31" eb="33">
      <t>チョウテン</t>
    </rPh>
    <rPh sb="34" eb="36">
      <t>バアイ</t>
    </rPh>
    <phoneticPr fontId="3"/>
  </si>
  <si>
    <t>　　　　 "10/10/10/10/10"の(1, Y, Z)頂点の場合："10/11/10/10/10"</t>
    <rPh sb="34" eb="36">
      <t>バアイ</t>
    </rPh>
    <phoneticPr fontId="3"/>
  </si>
  <si>
    <t>　　　- Y成分の場合、Y座標が負方向の空間IDが取得できること</t>
    <rPh sb="6" eb="8">
      <t>セイブン</t>
    </rPh>
    <rPh sb="9" eb="11">
      <t>バアイ</t>
    </rPh>
    <rPh sb="13" eb="15">
      <t>ザヒョウ</t>
    </rPh>
    <rPh sb="16" eb="17">
      <t>フ</t>
    </rPh>
    <rPh sb="17" eb="19">
      <t>ホウコウ</t>
    </rPh>
    <rPh sb="20" eb="22">
      <t>クウカン</t>
    </rPh>
    <rPh sb="25" eb="27">
      <t>シュトク</t>
    </rPh>
    <phoneticPr fontId="3"/>
  </si>
  <si>
    <t>　　　　 "10/10/10/10/10"の(X, 0, Z)頂点の場合："10/10/11/10/10"</t>
    <rPh sb="31" eb="33">
      <t>チョウテン</t>
    </rPh>
    <rPh sb="34" eb="36">
      <t>バアイ</t>
    </rPh>
    <phoneticPr fontId="3"/>
  </si>
  <si>
    <t>　　　　 "10/10/10/10/10"の(X, 1, Z)頂点の場合："10/10/10/10/10"</t>
    <rPh sb="31" eb="33">
      <t>チョウテン</t>
    </rPh>
    <rPh sb="34" eb="36">
      <t>バアイ</t>
    </rPh>
    <phoneticPr fontId="3"/>
  </si>
  <si>
    <t>　　　- Z成分の場合、Z座標が正方向の空間IDが取得できること</t>
    <rPh sb="6" eb="8">
      <t>セイブン</t>
    </rPh>
    <rPh sb="9" eb="11">
      <t>バアイ</t>
    </rPh>
    <rPh sb="13" eb="15">
      <t>ザヒョウ</t>
    </rPh>
    <rPh sb="16" eb="17">
      <t>セイ</t>
    </rPh>
    <rPh sb="17" eb="19">
      <t>ホウコウ</t>
    </rPh>
    <rPh sb="20" eb="22">
      <t>クウカン</t>
    </rPh>
    <rPh sb="25" eb="27">
      <t>シュトク</t>
    </rPh>
    <phoneticPr fontId="3"/>
  </si>
  <si>
    <t>　　　　 "10/10/10/10/10"の(X, Y, 0)頂点の場合："10/10/10/10/10"</t>
    <rPh sb="31" eb="33">
      <t>チョウテン</t>
    </rPh>
    <rPh sb="34" eb="36">
      <t>バアイ</t>
    </rPh>
    <phoneticPr fontId="3"/>
  </si>
  <si>
    <t>　　　　 "10/10/10/10/10"の(X, Y, 1)頂点の場合："10/10/10/10/11"</t>
    <rPh sb="31" eb="33">
      <t>チョウテン</t>
    </rPh>
    <rPh sb="34" eb="36">
      <t>バアイ</t>
    </rPh>
    <phoneticPr fontId="3"/>
  </si>
  <si>
    <t>※2 辺がボクセル境界面上の場合</t>
    <rPh sb="3" eb="4">
      <t>ヘン</t>
    </rPh>
    <rPh sb="9" eb="11">
      <t>キョウカイ</t>
    </rPh>
    <rPh sb="11" eb="12">
      <t>メン</t>
    </rPh>
    <rPh sb="12" eb="13">
      <t>ジョウ</t>
    </rPh>
    <rPh sb="14" eb="16">
      <t>バアイ</t>
    </rPh>
    <phoneticPr fontId="3"/>
  </si>
  <si>
    <t>　　　- X軸と並行の場合</t>
    <rPh sb="6" eb="7">
      <t>ジク</t>
    </rPh>
    <rPh sb="8" eb="10">
      <t>ヘイコウ</t>
    </rPh>
    <rPh sb="11" eb="13">
      <t>バアイ</t>
    </rPh>
    <phoneticPr fontId="3"/>
  </si>
  <si>
    <t>　　　　 -X成分は、起点とする空間IDと同一となること</t>
    <rPh sb="7" eb="9">
      <t>セイブン</t>
    </rPh>
    <rPh sb="11" eb="13">
      <t>キテン</t>
    </rPh>
    <rPh sb="16" eb="18">
      <t>クウカン</t>
    </rPh>
    <rPh sb="21" eb="23">
      <t>ドウイツ</t>
    </rPh>
    <phoneticPr fontId="3"/>
  </si>
  <si>
    <t>　　　　 -YZ成分は、「※1」と同様</t>
    <rPh sb="8" eb="10">
      <t>セイブン</t>
    </rPh>
    <rPh sb="17" eb="19">
      <t>ドウヨウ</t>
    </rPh>
    <phoneticPr fontId="3"/>
  </si>
  <si>
    <t>　　　- Y軸と並行の場合</t>
    <rPh sb="6" eb="7">
      <t>ジク</t>
    </rPh>
    <rPh sb="8" eb="10">
      <t>ヘイコウ</t>
    </rPh>
    <rPh sb="11" eb="13">
      <t>バアイ</t>
    </rPh>
    <phoneticPr fontId="3"/>
  </si>
  <si>
    <t>　　　　 -Y成分は、起点とする空間IDと同一となること</t>
    <rPh sb="7" eb="9">
      <t>セイブン</t>
    </rPh>
    <rPh sb="11" eb="13">
      <t>キテン</t>
    </rPh>
    <rPh sb="16" eb="18">
      <t>クウカン</t>
    </rPh>
    <rPh sb="21" eb="23">
      <t>ドウイツ</t>
    </rPh>
    <phoneticPr fontId="3"/>
  </si>
  <si>
    <t>　　　　 -XZ成分は、「※1」と同様</t>
    <rPh sb="8" eb="10">
      <t>セイブン</t>
    </rPh>
    <rPh sb="17" eb="19">
      <t>ドウヨウ</t>
    </rPh>
    <phoneticPr fontId="3"/>
  </si>
  <si>
    <t>　　　- Z軸と並行の場合</t>
    <rPh sb="6" eb="7">
      <t>ジク</t>
    </rPh>
    <rPh sb="8" eb="10">
      <t>ヘイコウ</t>
    </rPh>
    <rPh sb="11" eb="13">
      <t>バアイ</t>
    </rPh>
    <phoneticPr fontId="3"/>
  </si>
  <si>
    <t>　　　　 -Z成分は、起点とする空間IDと同一となること</t>
    <rPh sb="7" eb="9">
      <t>セイブン</t>
    </rPh>
    <rPh sb="11" eb="13">
      <t>キテン</t>
    </rPh>
    <rPh sb="16" eb="18">
      <t>クウカン</t>
    </rPh>
    <rPh sb="21" eb="23">
      <t>ドウイツ</t>
    </rPh>
    <phoneticPr fontId="3"/>
  </si>
  <si>
    <t>　　　　 -XY成分は、「※1」と同様</t>
    <rPh sb="8" eb="10">
      <t>セイブン</t>
    </rPh>
    <rPh sb="17" eb="19">
      <t>ドウヨウ</t>
    </rPh>
    <phoneticPr fontId="3"/>
  </si>
  <si>
    <t>■ XYZ方向に長い線分の確認</t>
    <rPh sb="5" eb="7">
      <t>ホウコウ</t>
    </rPh>
    <rPh sb="8" eb="9">
      <t>ナガ</t>
    </rPh>
    <rPh sb="10" eb="11">
      <t>セン</t>
    </rPh>
    <rPh sb="11" eb="12">
      <t>ブン</t>
    </rPh>
    <rPh sb="13" eb="15">
      <t>カクニン</t>
    </rPh>
    <phoneticPr fontId="32"/>
  </si>
  <si>
    <t>入力値</t>
    <rPh sb="0" eb="2">
      <t>ニュウリョク</t>
    </rPh>
    <rPh sb="2" eb="3">
      <t>チ</t>
    </rPh>
    <phoneticPr fontId="3"/>
  </si>
  <si>
    <t>始点：空間ID「10/10/10/10/10」の中心点とする。</t>
    <rPh sb="0" eb="2">
      <t>シテン</t>
    </rPh>
    <rPh sb="3" eb="5">
      <t>クウカン</t>
    </rPh>
    <rPh sb="24" eb="26">
      <t>チュウシン</t>
    </rPh>
    <rPh sb="26" eb="27">
      <t>テン</t>
    </rPh>
    <phoneticPr fontId="3"/>
  </si>
  <si>
    <t>終点：空間ID「10/13/15/10/18」の中心点から以下分だけずらした座標とする。</t>
    <rPh sb="0" eb="2">
      <t>シュウテン</t>
    </rPh>
    <rPh sb="3" eb="5">
      <t>クウカン</t>
    </rPh>
    <rPh sb="24" eb="26">
      <t>チュウシン</t>
    </rPh>
    <rPh sb="26" eb="27">
      <t>テン</t>
    </rPh>
    <rPh sb="29" eb="31">
      <t>イカ</t>
    </rPh>
    <rPh sb="31" eb="32">
      <t>ブン</t>
    </rPh>
    <rPh sb="38" eb="40">
      <t>ザヒョウ</t>
    </rPh>
    <phoneticPr fontId="3"/>
  </si>
  <si>
    <t>経度: -0.00001</t>
    <rPh sb="0" eb="2">
      <t>ケイド</t>
    </rPh>
    <phoneticPr fontId="3"/>
  </si>
  <si>
    <t>緯度: +0.00001</t>
    <rPh sb="0" eb="2">
      <t>イド</t>
    </rPh>
    <phoneticPr fontId="3"/>
  </si>
  <si>
    <t>高さ: -0.00001</t>
    <rPh sb="0" eb="1">
      <t>タカ</t>
    </rPh>
    <phoneticPr fontId="3"/>
  </si>
  <si>
    <t>・XY平面</t>
    <rPh sb="3" eb="5">
      <t>ヘイメン</t>
    </rPh>
    <phoneticPr fontId="3"/>
  </si>
  <si>
    <t>Y</t>
    <phoneticPr fontId="3"/>
  </si>
  <si>
    <t>X</t>
    <phoneticPr fontId="3"/>
  </si>
  <si>
    <t>・XZ平面</t>
    <rPh sb="3" eb="5">
      <t>ヘイメン</t>
    </rPh>
    <phoneticPr fontId="3"/>
  </si>
  <si>
    <t>Z</t>
    <phoneticPr fontId="3"/>
  </si>
  <si>
    <t>・YZ平面</t>
    <rPh sb="3" eb="5">
      <t>ヘイメン</t>
    </rPh>
    <phoneticPr fontId="3"/>
  </si>
  <si>
    <t>各平面のID成分の組み合わせから期待値算出</t>
    <rPh sb="0" eb="1">
      <t>カク</t>
    </rPh>
    <rPh sb="1" eb="3">
      <t>ヘイメン</t>
    </rPh>
    <rPh sb="6" eb="8">
      <t>セイブン</t>
    </rPh>
    <rPh sb="9" eb="10">
      <t>ク</t>
    </rPh>
    <rPh sb="11" eb="12">
      <t>ア</t>
    </rPh>
    <rPh sb="16" eb="19">
      <t>キタイチ</t>
    </rPh>
    <rPh sb="19" eb="21">
      <t>サンシュツ</t>
    </rPh>
    <phoneticPr fontId="3"/>
  </si>
  <si>
    <t>XY平面</t>
    <rPh sb="2" eb="4">
      <t>ヘイメン</t>
    </rPh>
    <phoneticPr fontId="3"/>
  </si>
  <si>
    <t>XZ平面</t>
    <rPh sb="2" eb="4">
      <t>ヘイメン</t>
    </rPh>
    <phoneticPr fontId="3"/>
  </si>
  <si>
    <t>YZ平面</t>
    <rPh sb="2" eb="4">
      <t>ヘイメン</t>
    </rPh>
    <phoneticPr fontId="3"/>
  </si>
  <si>
    <t>XYZ成分全て揃っているものが期待値となる</t>
    <rPh sb="3" eb="5">
      <t>セイブン</t>
    </rPh>
    <rPh sb="5" eb="6">
      <t>スベ</t>
    </rPh>
    <rPh sb="7" eb="8">
      <t>ソロ</t>
    </rPh>
    <rPh sb="15" eb="18">
      <t>キタイチ</t>
    </rPh>
    <phoneticPr fontId="3"/>
  </si>
  <si>
    <t>■ 1ボクセルに収まる線分のマトリクス 試験データパターン</t>
    <rPh sb="8" eb="9">
      <t>オサ</t>
    </rPh>
    <rPh sb="11" eb="13">
      <t>センブン</t>
    </rPh>
    <rPh sb="20" eb="22">
      <t>シケン</t>
    </rPh>
    <phoneticPr fontId="32"/>
  </si>
  <si>
    <t>No</t>
    <phoneticPr fontId="3"/>
  </si>
  <si>
    <t>始点</t>
    <rPh sb="0" eb="2">
      <t>シテン</t>
    </rPh>
    <phoneticPr fontId="3"/>
  </si>
  <si>
    <t>終点</t>
    <rPh sb="0" eb="2">
      <t>シュウテン</t>
    </rPh>
    <phoneticPr fontId="3"/>
  </si>
  <si>
    <t>始点, 終点 パターン</t>
    <rPh sb="0" eb="2">
      <t>シテン</t>
    </rPh>
    <rPh sb="4" eb="6">
      <t>シュウテン</t>
    </rPh>
    <phoneticPr fontId="3"/>
  </si>
  <si>
    <t>始点取得</t>
    <rPh sb="0" eb="2">
      <t>シテン</t>
    </rPh>
    <rPh sb="2" eb="4">
      <t>シュトク</t>
    </rPh>
    <phoneticPr fontId="3"/>
  </si>
  <si>
    <t>終点取得</t>
    <rPh sb="0" eb="2">
      <t>シュウテン</t>
    </rPh>
    <rPh sb="2" eb="4">
      <t>シュトク</t>
    </rPh>
    <phoneticPr fontId="3"/>
  </si>
  <si>
    <t>始点: (0,0,0)
終点: (0,1,0)</t>
  </si>
  <si>
    <t>始点: (0,0,0)
終点: (0,0,1)</t>
  </si>
  <si>
    <t>始点: (0,0,0)
終点: (0,1,1)</t>
  </si>
  <si>
    <t>始点: (0,0,0)
終点: (1,0,1)</t>
  </si>
  <si>
    <t>始点: (0,0,0)
終点: (1,1,1)</t>
  </si>
  <si>
    <t>始点: (1,0,0)
終点: (0,1,0)</t>
  </si>
  <si>
    <t>始点: (1,0,0)
終点: (0,0,1)</t>
  </si>
  <si>
    <t>始点: (1,0,0)
終点: (1,1,0)</t>
  </si>
  <si>
    <t>始点: (1,0,0)
終点: (0,1,1)</t>
  </si>
  <si>
    <t>始点: (1,0,0)
終点: (1,0,1)</t>
  </si>
  <si>
    <t>始点: (1,0,0)
終点: (1,1,1)</t>
  </si>
  <si>
    <t>始点: (0,1,0)
終点: (0,0,1)</t>
  </si>
  <si>
    <t>始点: (0,1,0)
終点: (1,1,0)</t>
  </si>
  <si>
    <t>始点: (0,1,0)
終点: (0,1,1)</t>
  </si>
  <si>
    <t>始点: (0,1,0)
終点: (1,0,1)</t>
  </si>
  <si>
    <t>始点: (0,1,0)
終点: (1,1,1)</t>
  </si>
  <si>
    <t>始点: (0,0,1)
終点: (1,1,0)</t>
  </si>
  <si>
    <t>始点: (0,0,1)
終点: (0,1,1)</t>
  </si>
  <si>
    <t>始点: (0,0,1)
終点: (1,0,1)</t>
  </si>
  <si>
    <t>始点: (0,0,1)
終点: (1,1,1)</t>
  </si>
  <si>
    <t>始点: (1,1,0)
終点: (0,1,1)</t>
  </si>
  <si>
    <t>始点: (1,1,0)
終点: (1,0,1)</t>
  </si>
  <si>
    <t>始点: (1,1,0)
終点: (1,1,1)</t>
  </si>
  <si>
    <t>始点: (0,1,1)
終点: (1,0,1)</t>
  </si>
  <si>
    <t>始点: (0,1,1)
終点: (1,1,1)</t>
  </si>
  <si>
    <t>始点: (1,0,1)
終点: (1,1,1)</t>
  </si>
  <si>
    <t>始点: (1,0,0)
終点: (0,0,0)</t>
  </si>
  <si>
    <t>始点: (0,1,0)
終点: (0,0,0)</t>
  </si>
  <si>
    <t>始点: (0,1,0)
終点: (1,0,0)</t>
  </si>
  <si>
    <t>始点: (0,0,1)
終点: (0,0,0)</t>
  </si>
  <si>
    <t>始点: (0,0,1)
終点: (1,0,0)</t>
  </si>
  <si>
    <t>始点: (0,0,1)
終点: (0,1,0)</t>
  </si>
  <si>
    <t>始点: (1,1,0)
終点: (0,0,0)</t>
  </si>
  <si>
    <t>始点: (1,1,0)
終点: (1,0,0)</t>
  </si>
  <si>
    <t>始点: (1,1,0)
終点: (0,1,0)</t>
  </si>
  <si>
    <t>始点: (1,1,0)
終点: (0,0,1)</t>
  </si>
  <si>
    <t>始点: (0,1,1)
終点: (0,0,0)</t>
  </si>
  <si>
    <t>始点: (0,1,1)
終点: (1,0,0)</t>
  </si>
  <si>
    <t>始点: (0,1,1)
終点: (0,1,0)</t>
  </si>
  <si>
    <t>始点: (0,1,1)
終点: (0,0,1)</t>
  </si>
  <si>
    <t>始点: (0,1,1)
終点: (1,1,0)</t>
  </si>
  <si>
    <t>始点: (1,0,1)
終点: (0,0,0)</t>
  </si>
  <si>
    <t>始点: (1,0,1)
終点: (1,0,0)</t>
  </si>
  <si>
    <t>始点: (1,0,1)
終点: (0,1,0)</t>
  </si>
  <si>
    <t>始点: (1,0,1)
終点: (0,0,1)</t>
  </si>
  <si>
    <t>始点: (1,0,1)
終点: (1,1,0)</t>
  </si>
  <si>
    <t>始点: (1,0,1)
終点: (0,1,1)</t>
  </si>
  <si>
    <t>始点: (1,1,1)
終点: (0,0,0)</t>
  </si>
  <si>
    <t>始点: (1,1,1)
終点: (1,0,0)</t>
  </si>
  <si>
    <t>始点: (1,1,1)
終点: (0,1,0)</t>
  </si>
  <si>
    <t>始点: (1,1,1)
終点: (0,0,1)</t>
  </si>
  <si>
    <t>始点: (1,1,1)
終点: (1,1,0)</t>
  </si>
  <si>
    <t>始点: (1,1,1)
終点: (0,1,1)</t>
  </si>
  <si>
    <t>始点: (0,0,0)
終点: (1,0,0)</t>
  </si>
  <si>
    <t>始点: (0,0,0)
終点: (0,1,0)</t>
    <phoneticPr fontId="3"/>
  </si>
  <si>
    <t>精度閾値を超過した値を入力する</t>
  </si>
  <si>
    <t>水平精度：36</t>
    <rPh sb="0" eb="4">
      <t>スイヘイセイド</t>
    </rPh>
    <phoneticPr fontId="3"/>
  </si>
  <si>
    <t>準正常</t>
  </si>
  <si>
    <t>・以下のspatialIdErrorが返却されること
　- エラーコード：InputValueError
　- エラーメッセージ：入力チェックエラー</t>
    <rPh sb="1" eb="3">
      <t>イカ</t>
    </rPh>
    <rPh sb="19" eb="21">
      <t>ヘンキャク</t>
    </rPh>
    <phoneticPr fontId="3"/>
  </si>
  <si>
    <t>水平精度：-1</t>
    <rPh sb="0" eb="4">
      <t>スイヘイセイド</t>
    </rPh>
    <phoneticPr fontId="3"/>
  </si>
  <si>
    <t>垂直精度：36</t>
    <rPh sb="0" eb="2">
      <t>スイチョク</t>
    </rPh>
    <rPh sb="2" eb="4">
      <t>セイド</t>
    </rPh>
    <phoneticPr fontId="3"/>
  </si>
  <si>
    <t>垂直精度：-1</t>
    <rPh sb="0" eb="2">
      <t>スイチョク</t>
    </rPh>
    <rPh sb="2" eb="4">
      <t>セイド</t>
    </rPh>
    <phoneticPr fontId="3"/>
  </si>
  <si>
    <t>水平・垂直精度：36</t>
    <rPh sb="0" eb="2">
      <t>スイヘイ</t>
    </rPh>
    <rPh sb="3" eb="7">
      <t>スイチョクセイド</t>
    </rPh>
    <phoneticPr fontId="3"/>
  </si>
  <si>
    <t>水平・垂直精度：-1</t>
    <rPh sb="0" eb="2">
      <t>スイヘイ</t>
    </rPh>
    <rPh sb="3" eb="7">
      <t>スイチョクセイド</t>
    </rPh>
    <phoneticPr fontId="3"/>
  </si>
  <si>
    <t>座標にnilを入力する</t>
  </si>
  <si>
    <t>-</t>
  </si>
  <si>
    <t xml:space="preserve">1. 引数に以下を指定して、shape.GetSpatialIdsOnLineを呼び出す。
　始点: 正常な任意の値
　終点: 正常な任意の値
　水平精度: 36
　垂直精度: 正常な任意の値
</t>
    <rPh sb="47" eb="49">
      <t>シテン</t>
    </rPh>
    <rPh sb="60" eb="62">
      <t>シュウテン</t>
    </rPh>
    <rPh sb="73" eb="77">
      <t>スイヘイセイド</t>
    </rPh>
    <rPh sb="83" eb="87">
      <t>スイチョクセイド</t>
    </rPh>
    <phoneticPr fontId="3"/>
  </si>
  <si>
    <t xml:space="preserve">1. 引数に以下を指定して、shape.GetSpatialIdsOnLineを呼び出す。
　始点: 正常な任意の値
　終点: 正常な任意の値
　水平精度: -1
　垂直精度: 正常な任意の値
</t>
    <rPh sb="73" eb="77">
      <t>スイヘイセイド</t>
    </rPh>
    <rPh sb="83" eb="87">
      <t>スイチョクセイド</t>
    </rPh>
    <phoneticPr fontId="3"/>
  </si>
  <si>
    <t xml:space="preserve">1. 引数に以下を指定して、shape.GetSpatialIdsOnLineを呼び出す。
　始点: 正常な任意の値
　終点: 正常な任意の値
　水平精度: 正常な任意の値
　垂直精度: 36
</t>
    <rPh sb="73" eb="77">
      <t>スイヘイセイド</t>
    </rPh>
    <rPh sb="88" eb="92">
      <t>スイチョクセイド</t>
    </rPh>
    <phoneticPr fontId="3"/>
  </si>
  <si>
    <t xml:space="preserve">1. 引数に以下を指定して、shape.GetSpatialIdsOnLineを呼び出す。
　始点: 正常な任意の値
　終点: 正常な任意の値
　水平精度: 正常な任意の値
　垂直精度: -1
</t>
    <rPh sb="73" eb="77">
      <t>スイヘイセイド</t>
    </rPh>
    <rPh sb="88" eb="92">
      <t>スイチョクセイド</t>
    </rPh>
    <phoneticPr fontId="3"/>
  </si>
  <si>
    <t xml:space="preserve">1. 引数に以下を指定して、shape.GetSpatialIdsOnLineを呼び出す。
　始点: 正常な任意の値
　終点: 正常な任意の値
　水平精度: 36
　垂直精度: 36
</t>
    <rPh sb="73" eb="77">
      <t>スイヘイセイド</t>
    </rPh>
    <rPh sb="83" eb="87">
      <t>スイチョクセイド</t>
    </rPh>
    <phoneticPr fontId="3"/>
  </si>
  <si>
    <t xml:space="preserve">1. 引数に以下を指定して、shape.GetSpatialIdsOnLineを呼び出す。
　始点: 正常な任意の値
　終点: 正常な任意の値
　水平精度: -1
　垂直精度: -1
</t>
    <phoneticPr fontId="3"/>
  </si>
  <si>
    <t xml:space="preserve">1. 引数に以下を指定して、shape.GetSpatialIdsOnLineを呼び出す。
　始点: nil
　終点: 正常な任意の値
　水平精度: 正常な任意の値
　垂直精度: 正常な任意の値
</t>
    <rPh sb="69" eb="73">
      <t>スイヘイセイド</t>
    </rPh>
    <rPh sb="84" eb="88">
      <t>スイチョクセイド</t>
    </rPh>
    <phoneticPr fontId="3"/>
  </si>
  <si>
    <t xml:space="preserve">1. 引数に以下を指定して、shape.GetSpatialIdsOnLineを呼び出す。
　始点: 正常な任意の値
　終点: nil
　水平精度: 正常な任意の値
　垂直精度: 正常な任意の値
</t>
    <rPh sb="69" eb="73">
      <t>スイヘイセイド</t>
    </rPh>
    <rPh sb="84" eb="88">
      <t>スイチョクセイド</t>
    </rPh>
    <phoneticPr fontId="3"/>
  </si>
  <si>
    <t>始点終点のパターン網羅</t>
    <rPh sb="0" eb="2">
      <t>シテン</t>
    </rPh>
    <rPh sb="2" eb="4">
      <t>シュウテン</t>
    </rPh>
    <rPh sb="9" eb="11">
      <t>モウラ</t>
    </rPh>
    <phoneticPr fontId="3"/>
  </si>
  <si>
    <t>1ボクセルに収まる線分</t>
  </si>
  <si>
    <t>正常</t>
  </si>
  <si>
    <t>1ボクセル未満の線分の確認</t>
  </si>
  <si>
    <t>始点終点が同じ座標</t>
  </si>
  <si>
    <t>XYZ方向に長い線分の確認（XYZの長さは意図的に揃えない）</t>
  </si>
  <si>
    <t>経度0°付近</t>
  </si>
  <si>
    <t>始点終点を経度-0.1～0.1°の間とする</t>
    <rPh sb="0" eb="2">
      <t>シテン</t>
    </rPh>
    <rPh sb="2" eb="4">
      <t>シュウテン</t>
    </rPh>
    <rPh sb="5" eb="7">
      <t>ケイド</t>
    </rPh>
    <rPh sb="17" eb="18">
      <t>アイダ</t>
    </rPh>
    <phoneticPr fontId="3"/>
  </si>
  <si>
    <t>経度180°付近</t>
  </si>
  <si>
    <t>始点終点を経度179.8～179.9°の間とする</t>
    <rPh sb="0" eb="2">
      <t>シテン</t>
    </rPh>
    <rPh sb="2" eb="4">
      <t>シュウテン</t>
    </rPh>
    <rPh sb="5" eb="7">
      <t>ケイド</t>
    </rPh>
    <rPh sb="20" eb="21">
      <t>アイダ</t>
    </rPh>
    <phoneticPr fontId="3"/>
  </si>
  <si>
    <t>始点または終点のZ方向に負の値を入力した線分の確認</t>
    <phoneticPr fontId="3"/>
  </si>
  <si>
    <t>精度を変えても空間IDが取得できる</t>
    <phoneticPr fontId="3"/>
  </si>
  <si>
    <t>パラメータ入力チェック</t>
  </si>
  <si>
    <t>パラメータ入力チェック</t>
    <phoneticPr fontId="3"/>
  </si>
  <si>
    <t>Python版の「指定範囲の空間ID変換 (線分)」と同一の結果が取得できる</t>
    <phoneticPr fontId="3"/>
  </si>
  <si>
    <t>-</t>
    <phoneticPr fontId="3"/>
  </si>
  <si>
    <t>中点取得の再起処理終了パターンの網羅</t>
    <phoneticPr fontId="3"/>
  </si>
  <si>
    <t>分割された線分の端点2つの拡張空間IDが同じ</t>
    <phoneticPr fontId="3"/>
  </si>
  <si>
    <t>分割された線分の端点2つの拡張空間IDが隣接する（前後左右上下の6方向）</t>
    <phoneticPr fontId="3"/>
  </si>
  <si>
    <t>始点: (0,0,0)
終点: (0,0,1)</t>
    <phoneticPr fontId="3"/>
  </si>
  <si>
    <t>['10/10/11/10/10', '10/10/11/10/11']</t>
    <phoneticPr fontId="3"/>
  </si>
  <si>
    <t>['10/10/10/10/10', '10/10/11/10/10', '10/11/10/10/10']</t>
    <phoneticPr fontId="3"/>
  </si>
  <si>
    <t>始点: (0,0,0)
終点: (0,1,1)</t>
    <phoneticPr fontId="3"/>
  </si>
  <si>
    <t>始点: (0,0,0)
終点: (1,0,1)</t>
    <phoneticPr fontId="3"/>
  </si>
  <si>
    <t>['10/11/11/10/11', '10/10/11/10/10']</t>
    <phoneticPr fontId="3"/>
  </si>
  <si>
    <t>始点: (0,0,0)
終点: (1,1,1)</t>
    <phoneticPr fontId="3"/>
  </si>
  <si>
    <t>始点: (1,0,0)
終点: (0,0,1)</t>
    <phoneticPr fontId="3"/>
  </si>
  <si>
    <t>始点: (0,0,0)
終点: (1,0,0)</t>
    <phoneticPr fontId="3"/>
  </si>
  <si>
    <t>['10/11/10/10/10', '10/10/10/10/10']</t>
    <phoneticPr fontId="3"/>
  </si>
  <si>
    <t>['10/10/10/10/10', '10/10/11/10/10']</t>
    <phoneticPr fontId="3"/>
  </si>
  <si>
    <t>['10/10/10/10/11', '10/10/10/10/10']</t>
    <phoneticPr fontId="3"/>
  </si>
  <si>
    <t>始点: (0,0,0)
終点: (1,1,0)</t>
    <phoneticPr fontId="3"/>
  </si>
  <si>
    <t>['10/11/11/10/10', '10/10/10/10/10']</t>
    <phoneticPr fontId="3"/>
  </si>
  <si>
    <t>['10/10/11/10/11', '10/10/10/10/10']</t>
    <phoneticPr fontId="3"/>
  </si>
  <si>
    <t>['10/11/10/10/11', '10/10/10/10/10']</t>
    <phoneticPr fontId="3"/>
  </si>
  <si>
    <t>['10/11/11/10/11', '10/10/10/10/10']</t>
    <phoneticPr fontId="3"/>
  </si>
  <si>
    <t>始点: (1,0,0)
終点: (0,1,0)</t>
    <phoneticPr fontId="3"/>
  </si>
  <si>
    <t>['10/10/11/10/10', '10/11/10/10/10', '10/10/10/10/10']</t>
    <phoneticPr fontId="3"/>
  </si>
  <si>
    <t>['10/11/10/10/10', '10/10/10/10/11', '10/10/10/10/10']</t>
    <phoneticPr fontId="3"/>
  </si>
  <si>
    <t>始点: (1,0,0)
終点: (1,1,0)</t>
    <phoneticPr fontId="3"/>
  </si>
  <si>
    <t>['10/11/11/10/10', '10/11/10/10/10']</t>
    <phoneticPr fontId="3"/>
  </si>
  <si>
    <t>始点: (1,0,0)
終点: (0,1,1)</t>
    <phoneticPr fontId="3"/>
  </si>
  <si>
    <t>['10/11/10/10/10', '10/10/11/10/11', '10/10/10/10/10']</t>
    <phoneticPr fontId="3"/>
  </si>
  <si>
    <t>始点: (1,0,0)
終点: (1,0,1)</t>
    <phoneticPr fontId="3"/>
  </si>
  <si>
    <t>['10/11/10/10/11', '10/11/10/10/10']</t>
    <phoneticPr fontId="3"/>
  </si>
  <si>
    <t>始点: (1,0,0)
終点: (1,1,1)</t>
    <phoneticPr fontId="3"/>
  </si>
  <si>
    <t>['10/11/11/10/11', '10/11/10/10/10']</t>
    <phoneticPr fontId="3"/>
  </si>
  <si>
    <t>始点: (0,1,0)
終点: (0,0,1)</t>
    <phoneticPr fontId="3"/>
  </si>
  <si>
    <t>['10/10/10/10/10', '10/11/10/10/10']</t>
    <phoneticPr fontId="3"/>
  </si>
  <si>
    <t>['10/10/10/10/11', '10/10/10/10/10', '10/10/11/10/10']</t>
    <phoneticPr fontId="3"/>
  </si>
  <si>
    <t>始点: (0,1,0)
終点: (1,1,0)</t>
    <phoneticPr fontId="3"/>
  </si>
  <si>
    <t>['10/10/11/10/10', '10/11/11/10/10']</t>
    <phoneticPr fontId="3"/>
  </si>
  <si>
    <t>始点: (0,1,0)
終点: (0,1,1)</t>
    <phoneticPr fontId="3"/>
  </si>
  <si>
    <t>['10/10/11/10/11', '10/10/11/10/10']</t>
    <phoneticPr fontId="3"/>
  </si>
  <si>
    <t>始点: (0,1,0)
終点: (1,0,1)</t>
    <phoneticPr fontId="3"/>
  </si>
  <si>
    <t>['10/10/10/10/10', '10/11/10/10/11', '10/10/11/10/10']</t>
    <phoneticPr fontId="3"/>
  </si>
  <si>
    <t>始点: (0,1,0)
終点: (1,1,1)</t>
    <phoneticPr fontId="3"/>
  </si>
  <si>
    <t>始点: (0,1,0)
終点: (1,0,0)</t>
    <phoneticPr fontId="3"/>
  </si>
  <si>
    <t>始点: (0,0,1)
終点: (1,1,0)</t>
    <phoneticPr fontId="3"/>
  </si>
  <si>
    <t>['10/11/11/10/10', '10/10/10/10/10', '10/10/10/10/11']</t>
    <phoneticPr fontId="3"/>
  </si>
  <si>
    <t>始点: (0,0,1)
終点: (0,1,1)</t>
    <phoneticPr fontId="3"/>
  </si>
  <si>
    <t>['10/10/10/10/11', '10/10/11/10/11']</t>
    <phoneticPr fontId="3"/>
  </si>
  <si>
    <t>始点: (0,0,1)
終点: (1,0,1)</t>
    <phoneticPr fontId="3"/>
  </si>
  <si>
    <t>['10/10/10/10/11', '10/11/10/10/11']</t>
    <phoneticPr fontId="3"/>
  </si>
  <si>
    <t>始点: (0,0,1)
終点: (1,1,1)</t>
    <phoneticPr fontId="3"/>
  </si>
  <si>
    <t>['10/11/11/10/11', '10/10/10/10/11']</t>
    <phoneticPr fontId="3"/>
  </si>
  <si>
    <t>['10/10/10/10/10', '10/10/10/10/11']</t>
    <phoneticPr fontId="3"/>
  </si>
  <si>
    <t>始点: (0,0,1)
終点: (1,0,0)</t>
    <phoneticPr fontId="3"/>
  </si>
  <si>
    <t>['10/11/10/10/10', '10/10/10/10/10', '10/10/10/10/11']</t>
    <phoneticPr fontId="3"/>
  </si>
  <si>
    <t>始点: (0,0,1)
終点: (0,1,0)</t>
    <phoneticPr fontId="3"/>
  </si>
  <si>
    <t>['10/10/10/10/10', '10/10/10/10/11', '10/10/11/10/10']</t>
    <phoneticPr fontId="3"/>
  </si>
  <si>
    <t>始点: (1,1,0)
終点: (0,1,1)</t>
    <phoneticPr fontId="3"/>
  </si>
  <si>
    <t>始点: (1,1,0)
終点: (1,1,1)</t>
    <phoneticPr fontId="3"/>
  </si>
  <si>
    <t>['10/10/11/10/10', '10/11/11/10/10', '10/10/11/10/11']</t>
    <phoneticPr fontId="3"/>
  </si>
  <si>
    <t>始点: (1,1,0)
終点: (1,0,1)</t>
    <phoneticPr fontId="3"/>
  </si>
  <si>
    <t>['10/11/10/10/10', '10/11/11/10/10', '10/11/10/10/11']</t>
    <phoneticPr fontId="3"/>
  </si>
  <si>
    <t>['10/11/11/10/11', '10/11/11/10/10']</t>
    <phoneticPr fontId="3"/>
  </si>
  <si>
    <t>['10/10/10/10/10', '10/11/11/10/10']</t>
    <phoneticPr fontId="3"/>
  </si>
  <si>
    <t>始点: (1,1,0)
終点: (1,0,0)</t>
    <phoneticPr fontId="3"/>
  </si>
  <si>
    <t>['10/11/10/10/10', '10/11/11/10/10']</t>
    <phoneticPr fontId="3"/>
  </si>
  <si>
    <t>始点: (1,1,0)
終点: (0,1,0)</t>
    <phoneticPr fontId="3"/>
  </si>
  <si>
    <t>始点: (1,1,0)
終点: (0,0,1)</t>
    <phoneticPr fontId="3"/>
  </si>
  <si>
    <t>始点: (0,1,1)
終点: (1,0,1)</t>
    <phoneticPr fontId="3"/>
  </si>
  <si>
    <t>始点: (0,1,1)
終点: (1,1,1)</t>
    <phoneticPr fontId="3"/>
  </si>
  <si>
    <t>['10/10/11/10/11', '10/10/10/10/11', '10/11/10/10/11']</t>
    <phoneticPr fontId="3"/>
  </si>
  <si>
    <t>['10/11/11/10/11', '10/10/11/10/11']</t>
    <phoneticPr fontId="3"/>
  </si>
  <si>
    <t>['10/10/10/10/10', '10/10/11/10/11']</t>
    <phoneticPr fontId="3"/>
  </si>
  <si>
    <t>始点: (0,1,1)
終点: (1,0,0)</t>
    <phoneticPr fontId="3"/>
  </si>
  <si>
    <t>['10/10/11/10/11', '10/11/10/10/10', '10/10/10/10/10']</t>
    <phoneticPr fontId="3"/>
  </si>
  <si>
    <t>始点: (0,1,1)
終点: (0,1,0)</t>
    <phoneticPr fontId="3"/>
  </si>
  <si>
    <t>始点: (0,1,1)
終点: (0,0,1)</t>
    <phoneticPr fontId="3"/>
  </si>
  <si>
    <t>始点: (0,1,1)
終点: (1,1,0)</t>
    <phoneticPr fontId="3"/>
  </si>
  <si>
    <t>['10/11/11/10/10', '10/10/11/10/11', '10/10/11/10/10']</t>
    <phoneticPr fontId="3"/>
  </si>
  <si>
    <t>始点: (1,0,1)
終点: (1,1,1)</t>
    <phoneticPr fontId="3"/>
  </si>
  <si>
    <t>['10/11/10/10/11', '10/11/11/10/11']</t>
    <phoneticPr fontId="3"/>
  </si>
  <si>
    <t>始点: (1,0,1)
終点: (1,0,0)</t>
    <phoneticPr fontId="3"/>
  </si>
  <si>
    <t>始点: (1,0,1)
終点: (0,1,0)</t>
    <phoneticPr fontId="3"/>
  </si>
  <si>
    <t>['10/11/10/10/11', '10/10/11/10/10', '10/10/10/10/10']</t>
    <phoneticPr fontId="3"/>
  </si>
  <si>
    <t>始点: (1,0,1)
終点: (0,0,1)</t>
    <phoneticPr fontId="3"/>
  </si>
  <si>
    <t>['10/11/10/10/11', '10/10/10/10/11']</t>
    <phoneticPr fontId="3"/>
  </si>
  <si>
    <t>始点: (1,0,1)
終点: (1,1,0)</t>
    <phoneticPr fontId="3"/>
  </si>
  <si>
    <t>['10/11/10/10/11', '10/11/10/10/10', '10/11/11/10/10']</t>
    <phoneticPr fontId="3"/>
  </si>
  <si>
    <t>始点: (1,0,1)
終点: (0,1,1)</t>
    <phoneticPr fontId="3"/>
  </si>
  <si>
    <t>['10/11/10/10/11', '10/10/11/10/11', '10/10/10/10/11']</t>
    <phoneticPr fontId="3"/>
  </si>
  <si>
    <t>始点: (1,1,1)
終点: (0,0,0)</t>
    <phoneticPr fontId="3"/>
  </si>
  <si>
    <t>始点: (1,1,1)
終点: (1,0,0)</t>
    <phoneticPr fontId="3"/>
  </si>
  <si>
    <t>['10/11/10/10/10', '10/11/11/10/11']</t>
    <phoneticPr fontId="3"/>
  </si>
  <si>
    <t>始点: (1,1,1)
終点: (0,1,0)</t>
    <phoneticPr fontId="3"/>
  </si>
  <si>
    <t>始点: (1,1,1)
終点: (0,0,1)</t>
    <phoneticPr fontId="3"/>
  </si>
  <si>
    <t>['10/10/10/10/11', '10/11/11/10/11']</t>
    <phoneticPr fontId="3"/>
  </si>
  <si>
    <t>始点: (1,1,1)
終点: (1,1,0)</t>
    <phoneticPr fontId="3"/>
  </si>
  <si>
    <t>['10/11/11/10/10', '10/11/11/10/11']</t>
    <phoneticPr fontId="3"/>
  </si>
  <si>
    <t>始点: (1,1,1)
終点: (0,1,1)</t>
    <phoneticPr fontId="3"/>
  </si>
  <si>
    <t>['10/10/11/10/11', '10/11/11/10/11']</t>
    <phoneticPr fontId="3"/>
  </si>
  <si>
    <t>始点: (1,1,1)
終点: (1,0,1)</t>
    <phoneticPr fontId="3"/>
  </si>
  <si>
    <t>〇試験用データパターン</t>
    <rPh sb="1" eb="4">
      <t>シケンヨウ</t>
    </rPh>
    <phoneticPr fontId="3"/>
  </si>
  <si>
    <t>"【別紙2】線分マトリクスパターン"シートに記載</t>
    <rPh sb="22" eb="24">
      <t>キサイ</t>
    </rPh>
    <phoneticPr fontId="3"/>
  </si>
  <si>
    <t>○確認方法</t>
    <phoneticPr fontId="3"/>
  </si>
  <si>
    <t>○網羅パターン</t>
    <phoneticPr fontId="3"/>
  </si>
  <si>
    <t>1. 引数に以下を指定して、shape.GetSpatialIdsOnLineを呼び出す。
　"【別紙2】線分マトリクスパターン"シートのNo.1の「始点取得」「終点取得」</t>
    <phoneticPr fontId="3"/>
  </si>
  <si>
    <t>・入力したパラメータに対応した期待値が取得できること
・エラーインスタンスが返却されていないこと</t>
    <phoneticPr fontId="3"/>
  </si>
  <si>
    <t>1. 引数に以下を指定して、shape.GetSpatialIdsOnLineを呼び出す。
　"【別紙2】線分マトリクスパターン"シートのNo.2の「始点取得」「終点取得」</t>
    <phoneticPr fontId="3"/>
  </si>
  <si>
    <t>1. 引数に以下を指定して、shape.GetSpatialIdsOnLineを呼び出す。
　"【別紙2】線分マトリクスパターン"シートのNo.3の「始点取得」「終点取得」</t>
    <phoneticPr fontId="3"/>
  </si>
  <si>
    <t>1. 引数に以下を指定して、shape.GetSpatialIdsOnLineを呼び出す。
　"【別紙2】線分マトリクスパターン"シートのNo.6の「始点取得」「終点取得」</t>
  </si>
  <si>
    <t>1. 引数に以下を指定して、shape.GetSpatialIdsOnLineを呼び出す。
　"【別紙2】線分マトリクスパターン"シートのNo.7の「始点取得」「終点取得」</t>
  </si>
  <si>
    <t>1. 引数に以下を指定して、shape.GetSpatialIdsOnLineを呼び出す。
　"【別紙2】線分マトリクスパターン"シートのNo.8の「始点取得」「終点取得」</t>
  </si>
  <si>
    <t>1. 引数に以下を指定して、shape.GetSpatialIdsOnLineを呼び出す。
　"【別紙2】線分マトリクスパターン"シートのNo.9の「始点取得」「終点取得」</t>
  </si>
  <si>
    <t>1. 引数に以下を指定して、shape.GetSpatialIdsOnLineを呼び出す。
　"【別紙2】線分マトリクスパターン"シートのNo.4の「始点取得」「終点取得」</t>
    <phoneticPr fontId="3"/>
  </si>
  <si>
    <t>1. 引数に以下を指定して、shape.GetSpatialIdsOnLineを呼び出す。
　"【別紙2】線分マトリクスパターン"シートのNo.5の「始点取得」「終点取得」</t>
    <phoneticPr fontId="3"/>
  </si>
  <si>
    <t>1. 引数に以下を指定して、shape.GetSpatialIdsOnLineを呼び出す。
　"【別紙2】線分マトリクスパターン"シートのNo.10の「始点取得」「終点取得」</t>
  </si>
  <si>
    <t>1. 引数に以下を指定して、shape.GetSpatialIdsOnLineを呼び出す。
　"【別紙2】線分マトリクスパターン"シートのNo.11の「始点取得」「終点取得」</t>
  </si>
  <si>
    <t>1. 引数に以下を指定して、shape.GetSpatialIdsOnLineを呼び出す。
　"【別紙2】線分マトリクスパターン"シートのNo.12の「始点取得」「終点取得」</t>
  </si>
  <si>
    <t>1. 引数に以下を指定して、shape.GetSpatialIdsOnLineを呼び出す。
　"【別紙2】線分マトリクスパターン"シートのNo.13の「始点取得」「終点取得」</t>
  </si>
  <si>
    <t>1. 引数に以下を指定して、shape.GetSpatialIdsOnLineを呼び出す。
　"【別紙2】線分マトリクスパターン"シートのNo.14の「始点取得」「終点取得」</t>
  </si>
  <si>
    <t>1. 引数に以下を指定して、shape.GetSpatialIdsOnLineを呼び出す。
　"【別紙2】線分マトリクスパターン"シートのNo.15の「始点取得」「終点取得」</t>
  </si>
  <si>
    <t>1. 引数に以下を指定して、shape.GetSpatialIdsOnLineを呼び出す。
　"【別紙2】線分マトリクスパターン"シートのNo.16の「始点取得」「終点取得」</t>
  </si>
  <si>
    <t>1. 引数に以下を指定して、shape.GetSpatialIdsOnLineを呼び出す。
　"【別紙2】線分マトリクスパターン"シートのNo.17の「始点取得」「終点取得」</t>
  </si>
  <si>
    <t>1. 引数に以下を指定して、shape.GetSpatialIdsOnLineを呼び出す。
　"【別紙2】線分マトリクスパターン"シートのNo.18の「始点取得」「終点取得」</t>
  </si>
  <si>
    <t>1. 引数に以下を指定して、shape.GetSpatialIdsOnLineを呼び出す。
　"【別紙2】線分マトリクスパターン"シートのNo.19の「始点取得」「終点取得」</t>
  </si>
  <si>
    <t>1. 引数に以下を指定して、shape.GetSpatialIdsOnLineを呼び出す。
　"【別紙2】線分マトリクスパターン"シートのNo.20の「始点取得」「終点取得」</t>
  </si>
  <si>
    <t>1. 引数に以下を指定して、shape.GetSpatialIdsOnLineを呼び出す。
　"【別紙2】線分マトリクスパターン"シートのNo.21の「始点取得」「終点取得」</t>
  </si>
  <si>
    <t>1. 引数に以下を指定して、shape.GetSpatialIdsOnLineを呼び出す。
　"【別紙2】線分マトリクスパターン"シートのNo.22の「始点取得」「終点取得」</t>
  </si>
  <si>
    <t>1. 引数に以下を指定して、shape.GetSpatialIdsOnLineを呼び出す。
　"【別紙2】線分マトリクスパターン"シートのNo.23の「始点取得」「終点取得」</t>
  </si>
  <si>
    <t>1. 引数に以下を指定して、shape.GetSpatialIdsOnLineを呼び出す。
　"【別紙2】線分マトリクスパターン"シートのNo.24の「始点取得」「終点取得」</t>
  </si>
  <si>
    <t>1. 引数に以下を指定して、shape.GetSpatialIdsOnLineを呼び出す。
　"【別紙2】線分マトリクスパターン"シートのNo.25の「始点取得」「終点取得」</t>
  </si>
  <si>
    <t>1. 引数に以下を指定して、shape.GetSpatialIdsOnLineを呼び出す。
　"【別紙2】線分マトリクスパターン"シートのNo.26の「始点取得」「終点取得」</t>
  </si>
  <si>
    <t>1. 引数に以下を指定して、shape.GetSpatialIdsOnLineを呼び出す。
　"【別紙2】線分マトリクスパターン"シートのNo.27の「始点取得」「終点取得」</t>
  </si>
  <si>
    <t>1. 引数に以下を指定して、shape.GetSpatialIdsOnLineを呼び出す。
　"【別紙2】線分マトリクスパターン"シートのNo.28の「始点取得」「終点取得」</t>
  </si>
  <si>
    <t>1. 引数に以下を指定して、shape.GetSpatialIdsOnLineを呼び出す。
　"【別紙2】線分マトリクスパターン"シートのNo.29の「始点取得」「終点取得」</t>
  </si>
  <si>
    <t>1. 引数に以下を指定して、shape.GetSpatialIdsOnLineを呼び出す。
　"【別紙2】線分マトリクスパターン"シートのNo.30の「始点取得」「終点取得」</t>
  </si>
  <si>
    <t>1. 引数に以下を指定して、shape.GetSpatialIdsOnLineを呼び出す。
　"【別紙2】線分マトリクスパターン"シートのNo.31の「始点取得」「終点取得」</t>
  </si>
  <si>
    <t>1. 引数に以下を指定して、shape.GetSpatialIdsOnLineを呼び出す。
　"【別紙2】線分マトリクスパターン"シートのNo.32の「始点取得」「終点取得」</t>
  </si>
  <si>
    <t>1. 引数に以下を指定して、shape.GetSpatialIdsOnLineを呼び出す。
　"【別紙2】線分マトリクスパターン"シートのNo.33の「始点取得」「終点取得」</t>
  </si>
  <si>
    <t>1. 引数に以下を指定して、shape.GetSpatialIdsOnLineを呼び出す。
　"【別紙2】線分マトリクスパターン"シートのNo.34の「始点取得」「終点取得」</t>
  </si>
  <si>
    <t>1. 引数に以下を指定して、shape.GetSpatialIdsOnLineを呼び出す。
　"【別紙2】線分マトリクスパターン"シートのNo.35の「始点取得」「終点取得」</t>
  </si>
  <si>
    <t>1. 引数に以下を指定して、shape.GetSpatialIdsOnLineを呼び出す。
　"【別紙2】線分マトリクスパターン"シートのNo.36の「始点取得」「終点取得」</t>
  </si>
  <si>
    <t>1. 引数に以下を指定して、shape.GetSpatialIdsOnLineを呼び出す。
　"【別紙2】線分マトリクスパターン"シートのNo.37の「始点取得」「終点取得」</t>
  </si>
  <si>
    <t>1. 引数に以下を指定して、shape.GetSpatialIdsOnLineを呼び出す。
　"【別紙2】線分マトリクスパターン"シートのNo.38の「始点取得」「終点取得」</t>
  </si>
  <si>
    <t>1. 引数に以下を指定して、shape.GetSpatialIdsOnLineを呼び出す。
　"【別紙2】線分マトリクスパターン"シートのNo.39の「始点取得」「終点取得」</t>
  </si>
  <si>
    <t>1. 引数に以下を指定して、shape.GetSpatialIdsOnLineを呼び出す。
　"【別紙2】線分マトリクスパターン"シートのNo.40の「始点取得」「終点取得」</t>
  </si>
  <si>
    <t>1. 引数に以下を指定して、shape.GetSpatialIdsOnLineを呼び出す。
　"【別紙2】線分マトリクスパターン"シートのNo.41の「始点取得」「終点取得」</t>
  </si>
  <si>
    <t>1. 引数に以下を指定して、shape.GetSpatialIdsOnLineを呼び出す。
　"【別紙2】線分マトリクスパターン"シートのNo.42の「始点取得」「終点取得」</t>
  </si>
  <si>
    <t>1. 引数に以下を指定して、shape.GetSpatialIdsOnLineを呼び出す。
　"【別紙2】線分マトリクスパターン"シートのNo.43の「始点取得」「終点取得」</t>
  </si>
  <si>
    <t>1. 引数に以下を指定して、shape.GetSpatialIdsOnLineを呼び出す。
　"【別紙2】線分マトリクスパターン"シートのNo.44の「始点取得」「終点取得」</t>
  </si>
  <si>
    <t>1. 引数に以下を指定して、shape.GetSpatialIdsOnLineを呼び出す。
　"【別紙2】線分マトリクスパターン"シートのNo.45の「始点取得」「終点取得」</t>
  </si>
  <si>
    <t>1. 引数に以下を指定して、shape.GetSpatialIdsOnLineを呼び出す。
　"【別紙2】線分マトリクスパターン"シートのNo.46の「始点取得」「終点取得」</t>
  </si>
  <si>
    <t>1. 引数に以下を指定して、shape.GetSpatialIdsOnLineを呼び出す。
　"【別紙2】線分マトリクスパターン"シートのNo.47の「始点取得」「終点取得」</t>
  </si>
  <si>
    <t>1. 引数に以下を指定して、shape.GetSpatialIdsOnLineを呼び出す。
　"【別紙2】線分マトリクスパターン"シートのNo.48の「始点取得」「終点取得」</t>
  </si>
  <si>
    <t>1. 引数に以下を指定して、shape.GetSpatialIdsOnLineを呼び出す。
　"【別紙2】線分マトリクスパターン"シートのNo.49の「始点取得」「終点取得」</t>
  </si>
  <si>
    <t>1. 引数に以下を指定して、shape.GetSpatialIdsOnLineを呼び出す。
　"【別紙2】線分マトリクスパターン"シートのNo.50の「始点取得」「終点取得」</t>
  </si>
  <si>
    <t>1. 引数に以下を指定して、shape.GetSpatialIdsOnLineを呼び出す。
　"【別紙2】線分マトリクスパターン"シートのNo.51の「始点取得」「終点取得」</t>
  </si>
  <si>
    <t>1. 引数に以下を指定して、shape.GetSpatialIdsOnLineを呼び出す。
　"【別紙2】線分マトリクスパターン"シートのNo.52の「始点取得」「終点取得」</t>
  </si>
  <si>
    <t>1. 引数に以下を指定して、shape.GetSpatialIdsOnLineを呼び出す。
　"【別紙2】線分マトリクスパターン"シートのNo.53の「始点取得」「終点取得」</t>
  </si>
  <si>
    <t>1. 引数に以下を指定して、shape.GetSpatialIdsOnLineを呼び出す。
　"【別紙2】線分マトリクスパターン"シートのNo.54の「始点取得」「終点取得」</t>
  </si>
  <si>
    <t>1. 引数に以下を指定して、shape.GetSpatialIdsOnLineを呼び出す。
　"【別紙2】線分マトリクスパターン"シートのNo.55の「始点取得」「終点取得」</t>
  </si>
  <si>
    <t>線分API（shape.GetSpatialIdsOnLine）呼び出し時に指定する水平、垂直方向精度は以下とする。</t>
    <rPh sb="0" eb="2">
      <t>センブン</t>
    </rPh>
    <rPh sb="32" eb="33">
      <t>ヨ</t>
    </rPh>
    <rPh sb="34" eb="35">
      <t>ダ</t>
    </rPh>
    <rPh sb="36" eb="37">
      <t>ジ</t>
    </rPh>
    <rPh sb="38" eb="40">
      <t>シテイ</t>
    </rPh>
    <rPh sb="42" eb="44">
      <t>スイヘイ</t>
    </rPh>
    <rPh sb="45" eb="51">
      <t>スイチョクホウコウセイド</t>
    </rPh>
    <rPh sb="52" eb="54">
      <t>イカ</t>
    </rPh>
    <phoneticPr fontId="3"/>
  </si>
  <si>
    <t>水平、垂直方向精度</t>
    <rPh sb="0" eb="2">
      <t>スイヘイ</t>
    </rPh>
    <rPh sb="3" eb="9">
      <t>スイチョクホウコウセイド</t>
    </rPh>
    <phoneticPr fontId="3"/>
  </si>
  <si>
    <t>1. 引数に以下を指定して、shape.GetSpatialIdsOnLineを呼び出す。
　始点: 正常な任意の値
　終点: 始点と同じ値
　水平精度: 正常な任意の値
　垂直精度: 正常な任意の値</t>
    <rPh sb="64" eb="66">
      <t>シテン</t>
    </rPh>
    <rPh sb="67" eb="68">
      <t>オナ</t>
    </rPh>
    <rPh sb="69" eb="70">
      <t>アタイ</t>
    </rPh>
    <phoneticPr fontId="3"/>
  </si>
  <si>
    <t>・1個の空間IDが取得できること
・エラーインスタンスが返却されていないこと</t>
    <rPh sb="2" eb="3">
      <t>コ</t>
    </rPh>
    <rPh sb="4" eb="6">
      <t>クウカン</t>
    </rPh>
    <rPh sb="9" eb="11">
      <t>シュトク</t>
    </rPh>
    <phoneticPr fontId="3"/>
  </si>
  <si>
    <t>・1個の空間ID（10/10/10/10/10）が取得できること
・エラーインスタンスが返却されていないこと</t>
    <phoneticPr fontId="3"/>
  </si>
  <si>
    <t>X方向に長い線分の確認</t>
    <phoneticPr fontId="3"/>
  </si>
  <si>
    <t>Y方向に長い線分の確認</t>
    <phoneticPr fontId="3"/>
  </si>
  <si>
    <t>Z方向に長い線分の確認</t>
    <phoneticPr fontId="3"/>
  </si>
  <si>
    <t>期待値※1</t>
    <rPh sb="0" eb="3">
      <t>キタイアタイ</t>
    </rPh>
    <phoneticPr fontId="3"/>
  </si>
  <si>
    <t>※1 配列に格納された空間IDの順番は不定</t>
    <rPh sb="3" eb="5">
      <t>ハイレツ</t>
    </rPh>
    <rPh sb="6" eb="8">
      <t>カクノウ</t>
    </rPh>
    <rPh sb="11" eb="13">
      <t>クウカン</t>
    </rPh>
    <rPh sb="16" eb="18">
      <t>ジュンバン</t>
    </rPh>
    <rPh sb="19" eb="21">
      <t>フテイ</t>
    </rPh>
    <phoneticPr fontId="3"/>
  </si>
  <si>
    <t>　　　　　object.NewPoint(p.Lon() - 0.00001, p.Lat() + 0.00001, p.Alt() -0.00001)</t>
    <phoneticPr fontId="3"/>
  </si>
  <si>
    <t>▼図による簡易確認</t>
    <rPh sb="1" eb="2">
      <t>ズ</t>
    </rPh>
    <rPh sb="5" eb="9">
      <t>カンイカクニン</t>
    </rPh>
    <phoneticPr fontId="3"/>
  </si>
  <si>
    <t>取得される空間IDの期待値は以下</t>
    <rPh sb="0" eb="2">
      <t>シュトク</t>
    </rPh>
    <rPh sb="5" eb="7">
      <t>クウカン</t>
    </rPh>
    <rPh sb="10" eb="13">
      <t>キタイアタイ</t>
    </rPh>
    <rPh sb="14" eb="16">
      <t>イカ</t>
    </rPh>
    <phoneticPr fontId="3"/>
  </si>
  <si>
    <t>'10/10/10/10/10'</t>
  </si>
  <si>
    <t>'10/10/10/10/11'</t>
  </si>
  <si>
    <t>'10/10/11/10/11'</t>
  </si>
  <si>
    <t>'10/11/11/10/11'</t>
  </si>
  <si>
    <t>'10/11/11/10/12'</t>
  </si>
  <si>
    <t>'10/11/12/10/12'</t>
  </si>
  <si>
    <t>'10/11/12/10/13'</t>
  </si>
  <si>
    <t>'10/11/12/10/14'</t>
  </si>
  <si>
    <t>'10/11/13/10/14'</t>
  </si>
  <si>
    <t>'10/12/13/10/14'</t>
  </si>
  <si>
    <t>'10/12/13/10/15'</t>
  </si>
  <si>
    <t>'10/12/13/10/16'</t>
  </si>
  <si>
    <t>'10/12/14/10/16'</t>
  </si>
  <si>
    <t>'10/12/14/10/17'</t>
  </si>
  <si>
    <t>'10/13/14/10/17'</t>
  </si>
  <si>
    <t>'10/13/15/10/17'</t>
  </si>
  <si>
    <t>'10/13/15/10/18'</t>
  </si>
  <si>
    <t>▼</t>
    <phoneticPr fontId="3"/>
  </si>
  <si>
    <t>各平面で取得されるID成分の期待値</t>
    <rPh sb="0" eb="1">
      <t>カク</t>
    </rPh>
    <rPh sb="1" eb="3">
      <t>ヘイメン</t>
    </rPh>
    <rPh sb="4" eb="6">
      <t>シュトク</t>
    </rPh>
    <rPh sb="11" eb="13">
      <t>セイブン</t>
    </rPh>
    <rPh sb="14" eb="17">
      <t>キタイチ</t>
    </rPh>
    <phoneticPr fontId="3"/>
  </si>
  <si>
    <t>1. 引数に以下を指定して、shape.GetSpatialIdsOnLineを呼び出す。
　"【別紙2】線分マトリクスパターン"シートのNo.56の「始点取得」「終点取得」</t>
    <phoneticPr fontId="3"/>
  </si>
  <si>
    <t>精度：「水平」「垂直」ともに "10"</t>
    <rPh sb="0" eb="2">
      <t>セイド</t>
    </rPh>
    <rPh sb="4" eb="6">
      <t>スイヘイ</t>
    </rPh>
    <rPh sb="8" eb="10">
      <t>スイチョク</t>
    </rPh>
    <phoneticPr fontId="3"/>
  </si>
  <si>
    <t>始点・終点について、点群APIを使用して取得する際は以下のように取得。</t>
    <rPh sb="0" eb="2">
      <t>シテン</t>
    </rPh>
    <rPh sb="3" eb="5">
      <t>シュウテン</t>
    </rPh>
    <rPh sb="10" eb="12">
      <t>テングン</t>
    </rPh>
    <rPh sb="16" eb="18">
      <t>シヨウ</t>
    </rPh>
    <rPh sb="20" eb="22">
      <t>シュトク</t>
    </rPh>
    <rPh sb="24" eb="25">
      <t>サイ</t>
    </rPh>
    <rPh sb="26" eb="28">
      <t>イカ</t>
    </rPh>
    <rPh sb="32" eb="34">
      <t>シュトク</t>
    </rPh>
    <phoneticPr fontId="3"/>
  </si>
  <si>
    <t>・入力したパラメータに対応した期待値が取得できること
・エラーインスタンスが返却されていないこと</t>
    <phoneticPr fontId="3"/>
  </si>
  <si>
    <t xml:space="preserve">・始点、終点間の空間IDが全て取得できること。
　[10/10/10/10/10
　 10/11/10/10/10
　 10/12/10/10/10
　 10/13/10/10/10
　 10/14/10/10/10
　 10/15/10/10/10]
・エラーインスタンスが返却されていないこと
</t>
    <rPh sb="1" eb="3">
      <t>シテン</t>
    </rPh>
    <rPh sb="4" eb="7">
      <t>シュウテンカン</t>
    </rPh>
    <rPh sb="8" eb="10">
      <t>クウカン</t>
    </rPh>
    <rPh sb="13" eb="14">
      <t>スベ</t>
    </rPh>
    <rPh sb="15" eb="17">
      <t>シュトク</t>
    </rPh>
    <phoneticPr fontId="3"/>
  </si>
  <si>
    <t xml:space="preserve">・始点、終点間の空間IDが全て取得できること。
　[10/10/10/10/10
　 10/10/11/10/10
　 10/10/12/10/10
　 10/10/13/10/10
　 10/10/14/10/10
　 10/10/15/10/10]
・エラーインスタンスが返却されていないこと
</t>
    <rPh sb="1" eb="3">
      <t>シテン</t>
    </rPh>
    <rPh sb="4" eb="7">
      <t>シュウテンカン</t>
    </rPh>
    <rPh sb="8" eb="10">
      <t>クウカン</t>
    </rPh>
    <rPh sb="13" eb="14">
      <t>スベ</t>
    </rPh>
    <rPh sb="15" eb="17">
      <t>シュトク</t>
    </rPh>
    <phoneticPr fontId="3"/>
  </si>
  <si>
    <t xml:space="preserve">・始点、終点間の空間IDが全て取得できること。
　[10/10/10/10/10
　 10/10/10/10/11
　 10/10/10/10/12
　 10/10/10/10/13
　 10/10/10/10/14
　 10/10/10/10/15]
・エラーインスタンスが返却されていないこと
</t>
    <rPh sb="1" eb="3">
      <t>シテン</t>
    </rPh>
    <rPh sb="4" eb="7">
      <t>シュウテンカン</t>
    </rPh>
    <rPh sb="8" eb="10">
      <t>クウカン</t>
    </rPh>
    <rPh sb="13" eb="14">
      <t>スベ</t>
    </rPh>
    <rPh sb="15" eb="17">
      <t>シュトク</t>
    </rPh>
    <phoneticPr fontId="3"/>
  </si>
  <si>
    <t>・始点、終点間の空間IDが全て取得できること。
　[10/10/10/10/-4
　 10/10/10/10/-5
　 10/10/11/10/-4
　 10/11/11/10/-3
　 10/11/11/10/-4
　 10/11/12/10/-1
　 10/11/12/10/-2
　 10/11/12/10/-3
　 10/11/13/10/-1
　 10/12/13/10/-1
　 10/12/13/10/0
　 10/12/13/10/1
　 10/12/14/10/1
　 10/12/14/10/2
　 10/13/14/10/2
　 10/13/15/10/2
　 10/13/15/10/3]
・エラーインスタンスが返却されていないこと</t>
    <phoneticPr fontId="3"/>
  </si>
  <si>
    <t xml:space="preserve">1. 引数に以下を指定して、shape.GetSpatialIdsOnLineを呼び出す。
　始点: object.NewPoint(-176.30859375, 84.7222180279, -147456.0)
　終点: object.NewPoint(-175.25390625, 84.5580316793, 114688.0)
　水平精度: 10
　垂直精度: 10
</t>
    <phoneticPr fontId="3"/>
  </si>
  <si>
    <t xml:space="preserve">1. 引数に以下を指定して、shape.GetSpatialIdsOnLineを呼び出す。
　始点: object.NewPoint(-175.25390625, 84.5580316793, 114688.0)
　終点: object.NewPoint(-176.30859375, 84.7222180279, -147456.0)
　水平精度: 10
　垂直精度: 10
</t>
    <phoneticPr fontId="3"/>
  </si>
  <si>
    <t xml:space="preserve">1. 引数に以下を指定して、shape.GetSpatialIdsOnLineを呼び出す。
　始点: object.NewPoint(-0.1, 0, 0)
　終点: object.NewPoint(0.1, 0, 0)
　水平精度: 10
　垂直精度: 10
</t>
    <phoneticPr fontId="3"/>
  </si>
  <si>
    <t>・始点、終点間の空間IDが全て取得できること。
　[10/511/512/10/0
　 10/512/512/10/0]
・エラーインスタンスが返却されていないこと</t>
    <phoneticPr fontId="3"/>
  </si>
  <si>
    <t xml:space="preserve">1. 引数に以下を指定して、shape.GetSpatialIdsOnLineを呼び出す。
　始点: object.NewPoint(179.8, 0, 0)
　終点: object.NewPoint(179.9, 0, 0)
　水平精度: 10
　垂直精度: 10
</t>
    <phoneticPr fontId="3"/>
  </si>
  <si>
    <t>・始点、終点間の空間IDが全て取得できること。
　[10/1023/512/10/0]
・エラーインスタンスが返却されていないこと</t>
    <phoneticPr fontId="3"/>
  </si>
  <si>
    <t>水平/垂直精度</t>
    <rPh sb="0" eb="2">
      <t>スイヘイ</t>
    </rPh>
    <rPh sb="3" eb="5">
      <t>スイチョク</t>
    </rPh>
    <rPh sb="5" eb="7">
      <t>セイド</t>
    </rPh>
    <phoneticPr fontId="3"/>
  </si>
  <si>
    <t>GetPointOnExtendedSpatialId("任意の空間ID", enum.Vertex)[0]</t>
    <rPh sb="29" eb="31">
      <t>ニンイ</t>
    </rPh>
    <rPh sb="32" eb="34">
      <t>クウカン</t>
    </rPh>
    <phoneticPr fontId="3"/>
  </si>
  <si>
    <t>GetPointOnExtendedSpatialId("任意の空間ID", enum.Vertex)[1]</t>
  </si>
  <si>
    <t>GetPointOnExtendedSpatialId("任意の空間ID", enum.Vertex)[3]</t>
  </si>
  <si>
    <t>GetPointOnExtendedSpatialId("任意の空間ID", enum.Vertex)[4]</t>
  </si>
  <si>
    <t>GetPointOnExtendedSpatialId("任意の空間ID", enum.Vertex)[2]</t>
  </si>
  <si>
    <t>GetPointOnExtendedSpatialId("任意の空間ID", enum.Vertex)[7]</t>
  </si>
  <si>
    <t>GetPointOnExtendedSpatialId("任意の空間ID", enum.Vertex)[5]</t>
  </si>
  <si>
    <t>GetPointOnExtendedSpatialId("任意の空間ID", enum.Vertex)[6]</t>
    <rPh sb="29" eb="31">
      <t>ニンイ</t>
    </rPh>
    <rPh sb="32" eb="34">
      <t>クウカン</t>
    </rPh>
    <phoneticPr fontId="3"/>
  </si>
  <si>
    <t>始点・終点として入力する座標は点群API（shape.GetPointOnExtendedSpatialId）を利用して取得する。</t>
    <rPh sb="0" eb="2">
      <t>シテン</t>
    </rPh>
    <rPh sb="3" eb="5">
      <t>シュウテン</t>
    </rPh>
    <rPh sb="8" eb="10">
      <t>ニュウリョク</t>
    </rPh>
    <rPh sb="12" eb="14">
      <t>ザヒョウ</t>
    </rPh>
    <rPh sb="15" eb="17">
      <t>テングン</t>
    </rPh>
    <rPh sb="56" eb="58">
      <t>リヨウ</t>
    </rPh>
    <rPh sb="60" eb="62">
      <t>シュトク</t>
    </rPh>
    <phoneticPr fontId="3"/>
  </si>
  <si>
    <t>始点：　GetPointOnExtendedSpatialId("10/10/10/10/10", enum.Center)[0]</t>
    <rPh sb="0" eb="2">
      <t>シテン</t>
    </rPh>
    <phoneticPr fontId="3"/>
  </si>
  <si>
    <t>終点：　p = GetPointOnExtendedSpatialId("10/13/15/10/18", enum.Center)[0]</t>
    <rPh sb="0" eb="2">
      <t>シュウテン</t>
    </rPh>
    <phoneticPr fontId="3"/>
  </si>
  <si>
    <t>指定可能な全ての精度で空間IDが取得できることを確認する。</t>
    <rPh sb="0" eb="4">
      <t>シテイカノウ</t>
    </rPh>
    <rPh sb="5" eb="6">
      <t>スベ</t>
    </rPh>
    <rPh sb="8" eb="10">
      <t>セイド</t>
    </rPh>
    <rPh sb="11" eb="13">
      <t>クウカン</t>
    </rPh>
    <rPh sb="16" eb="18">
      <t>シュトク</t>
    </rPh>
    <rPh sb="24" eb="26">
      <t>カクニン</t>
    </rPh>
    <phoneticPr fontId="3"/>
  </si>
  <si>
    <t>入力するデータおよび期待値を以下に記載する。</t>
    <rPh sb="0" eb="2">
      <t>ニュウリョク</t>
    </rPh>
    <rPh sb="10" eb="13">
      <t>キタイアタイ</t>
    </rPh>
    <rPh sb="14" eb="16">
      <t>イカ</t>
    </rPh>
    <rPh sb="17" eb="19">
      <t>キサイ</t>
    </rPh>
    <phoneticPr fontId="3"/>
  </si>
  <si>
    <t>object.NewPoint(0.0, 0.0, 0.0)</t>
    <phoneticPr fontId="3"/>
  </si>
  <si>
    <t>object.NewPoint(179.0, 80.0, 100.0)</t>
    <phoneticPr fontId="3"/>
  </si>
  <si>
    <t>object.NewPoint(-135.0, 75.7821946114, 4194304.0)</t>
    <phoneticPr fontId="3"/>
  </si>
  <si>
    <t>object.NewPoint(45.0, 75.7821946114, 4194304.0)</t>
    <phoneticPr fontId="3"/>
  </si>
  <si>
    <t>['2/2/0/2/0', '2/0/0/2/0', '2/1/0/2/0']</t>
    <phoneticPr fontId="3"/>
  </si>
  <si>
    <t>テスト用の始点、終点座標取得時、座標群は以下の形式で変数に格納する。</t>
    <rPh sb="3" eb="4">
      <t>ヨウ</t>
    </rPh>
    <rPh sb="5" eb="7">
      <t>シテン</t>
    </rPh>
    <rPh sb="8" eb="10">
      <t>シュウテン</t>
    </rPh>
    <rPh sb="10" eb="15">
      <t>ザヒョウシュトクジ</t>
    </rPh>
    <rPh sb="16" eb="19">
      <t>ザヒョウグン</t>
    </rPh>
    <rPh sb="20" eb="22">
      <t>イカ</t>
    </rPh>
    <rPh sb="23" eb="25">
      <t>ケイシキ</t>
    </rPh>
    <rPh sb="26" eb="28">
      <t>ヘンスウ</t>
    </rPh>
    <rPh sb="29" eb="31">
      <t>カクノウ</t>
    </rPh>
    <phoneticPr fontId="3"/>
  </si>
  <si>
    <t>座標群（引数に指定する空間IDは 10/10/10/10/10 固定とする）</t>
    <rPh sb="0" eb="3">
      <t>ザヒョウグン</t>
    </rPh>
    <rPh sb="4" eb="6">
      <t>ヒキスウ</t>
    </rPh>
    <rPh sb="7" eb="9">
      <t>シテイ</t>
    </rPh>
    <rPh sb="11" eb="13">
      <t>クウカン</t>
    </rPh>
    <rPh sb="32" eb="34">
      <t>コテイ</t>
    </rPh>
    <phoneticPr fontId="3"/>
  </si>
  <si>
    <t>points, _ := GetPointOnExtendedSpatialId("10/10/10/10/10", enum.Vertex)</t>
    <phoneticPr fontId="3"/>
  </si>
  <si>
    <t>始点、終点として使用する座標は、上記で取得した座標群（配列）から取得する。</t>
    <rPh sb="0" eb="2">
      <t>シテン</t>
    </rPh>
    <rPh sb="3" eb="5">
      <t>シュウテン</t>
    </rPh>
    <rPh sb="8" eb="10">
      <t>シヨウ</t>
    </rPh>
    <rPh sb="12" eb="14">
      <t>ザヒョウ</t>
    </rPh>
    <rPh sb="16" eb="18">
      <t>ジョウキ</t>
    </rPh>
    <rPh sb="19" eb="21">
      <t>シュトク</t>
    </rPh>
    <rPh sb="23" eb="26">
      <t>ザヒョウグン</t>
    </rPh>
    <rPh sb="27" eb="29">
      <t>ハイレツ</t>
    </rPh>
    <rPh sb="32" eb="34">
      <t>シュトク</t>
    </rPh>
    <phoneticPr fontId="3"/>
  </si>
  <si>
    <t>試験項目の各パターンで取得する始点終点について以下に記載する。</t>
    <rPh sb="0" eb="2">
      <t>シケン</t>
    </rPh>
    <rPh sb="2" eb="4">
      <t>コウモク</t>
    </rPh>
    <rPh sb="5" eb="6">
      <t>カク</t>
    </rPh>
    <rPh sb="11" eb="13">
      <t>シュトク</t>
    </rPh>
    <rPh sb="15" eb="19">
      <t>シテンシュウテン</t>
    </rPh>
    <rPh sb="23" eb="25">
      <t>イカ</t>
    </rPh>
    <rPh sb="26" eb="28">
      <t>キサイ</t>
    </rPh>
    <phoneticPr fontId="3"/>
  </si>
  <si>
    <t>points[0]</t>
  </si>
  <si>
    <t>points[1]</t>
  </si>
  <si>
    <t>points[3]</t>
  </si>
  <si>
    <t>points[4]</t>
  </si>
  <si>
    <t>points[2]</t>
  </si>
  <si>
    <t>points[7]</t>
  </si>
  <si>
    <t>points[5]</t>
  </si>
  <si>
    <t>points[6]</t>
  </si>
  <si>
    <t>1. 引数に以下を指定して、shape.GetSpatialIdsOnLineを呼び出す。
　始点: object.NewPoint(-176.30859375, 84.7222180279, 344064)
　終点: object.NewPoint(-174.55078125, 84.7222180279, 344064)
　水平精度: 10
　垂直精度: 10</t>
    <phoneticPr fontId="3"/>
  </si>
  <si>
    <t>1. 引数に以下を指定して、shape.GetSpatialIdsOnLineを呼び出す。
　始点: object.NewPoint(-176.30859375, 84.7222180279, 344064)
　終点: object.NewPoint(-176.30859375, 84.5580316793, 344064)
　水平精度: 10
　垂直精度: 10</t>
    <phoneticPr fontId="3"/>
  </si>
  <si>
    <t>1. 引数に以下を指定して、shape.GetSpatialIdsOnLineを呼び出す。
　始点: object.NewPoint(-176.30859375, 84.7222180279, 344064)
　終点: object.NewPoint(-176.30859375, 84.7222180279, 507904)
　水平精度: 10
　垂直精度: 10</t>
    <phoneticPr fontId="3"/>
  </si>
  <si>
    <t xml:space="preserve">1. 引数に以下を指定して、shape.GetSpatialIdsOnLineを呼び出す。
　始点: object.NewPoint(-176.30859375, 84.7222180279, 344064)
　終点: object.NewPoint(-176.484375, 84.7383871209, 327680)
　水平精度: 10
　垂直精度: 10
</t>
    <phoneticPr fontId="3"/>
  </si>
  <si>
    <t xml:space="preserve">1. 引数に以下を指定して、shape.GetSpatialIdsOnLineを呼び出す。
　"【別紙3】XYZ方向に長い線分の確認"シートのNo.56の「始点」「終点」「精度」
</t>
    <rPh sb="86" eb="88">
      <t>セイド</t>
    </rPh>
    <phoneticPr fontId="3"/>
  </si>
  <si>
    <t xml:space="preserve">1. 引数に以下を指定して、shape.GetSpatialIdsOnLineを呼び出す。
　"【別紙4】精度入力パターン"シートの全パターンの「始点」「終点」「精度」
</t>
    <rPh sb="66" eb="67">
      <t>ゼン</t>
    </rPh>
    <phoneticPr fontId="3"/>
  </si>
  <si>
    <t>object.NewPoint(-168.75, 83.863706879, 1048576.0)</t>
    <phoneticPr fontId="3"/>
  </si>
  <si>
    <t>object.NewPoint(-123.75, 83.863706879, 1048576.0)</t>
    <phoneticPr fontId="3"/>
  </si>
  <si>
    <t>['4/1/0/4/0', '4/2/0/4/0', '4/0/0/4/0']</t>
    <phoneticPr fontId="3"/>
  </si>
  <si>
    <t>['0/0/0/0/0']</t>
    <phoneticPr fontId="3"/>
  </si>
  <si>
    <t>['1/1/1/1/0', '1/1/0/1/0']</t>
    <phoneticPr fontId="3"/>
  </si>
  <si>
    <t>object.NewPoint(-174.375, 84.5151941393, 524288.0)</t>
    <phoneticPr fontId="3"/>
  </si>
  <si>
    <t>object.NewPoint(-151.875, 84.5151941393, 524288.0)</t>
    <phoneticPr fontId="3"/>
  </si>
  <si>
    <t>object.NewPoint(-177.1875, 84.7962449264, 262144.0)</t>
    <phoneticPr fontId="3"/>
  </si>
  <si>
    <t>object.NewPoint(-165.9375, 84.7962449264, 262144.0)</t>
    <phoneticPr fontId="3"/>
  </si>
  <si>
    <t>object.NewPoint(-178.59375, 84.926801252, 131072.0)</t>
    <phoneticPr fontId="3"/>
  </si>
  <si>
    <t>object.NewPoint(-172.96875, 84.926801252, 131072.0)</t>
    <phoneticPr fontId="3"/>
  </si>
  <si>
    <t>object.NewPoint(-157.5, 82.1112317102, 2097152.0)</t>
    <phoneticPr fontId="3"/>
  </si>
  <si>
    <t>object.NewPoint(-67.5, 82.1112317102, 2097152.0)</t>
    <phoneticPr fontId="3"/>
  </si>
  <si>
    <t>['3/1/0/3/0', '3/2/0/3/0', '3/0/0/3/0']</t>
    <phoneticPr fontId="3"/>
  </si>
  <si>
    <t>['5/0/0/5/0', '5/2/0/5/0', '5/1/0/5/0']</t>
    <phoneticPr fontId="3"/>
  </si>
  <si>
    <t>['6/1/0/6/0', '6/2/0/6/0', '6/0/0/6/0']</t>
    <phoneticPr fontId="3"/>
  </si>
  <si>
    <t>['7/1/0/7/0', '7/2/0/7/0', '7/0/0/7/0']</t>
    <phoneticPr fontId="3"/>
  </si>
  <si>
    <t>object.NewPoint(-179.296875, 84.9897248546, 65536.0)</t>
    <phoneticPr fontId="3"/>
  </si>
  <si>
    <t>object.NewPoint(-176.484375, 84.9897248546, 65536.0)</t>
    <phoneticPr fontId="3"/>
  </si>
  <si>
    <t>['8/0/0/8/0', '8/1/0/8/0', '8/2/0/8/0']</t>
    <phoneticPr fontId="3"/>
  </si>
  <si>
    <t>['9/2/0/9/0', '9/1/0/9/0', '9/0/0/9/0']</t>
    <phoneticPr fontId="3"/>
  </si>
  <si>
    <t>object.NewPoint(-179.6484375, 85.02061448, 32768.0)</t>
    <phoneticPr fontId="3"/>
  </si>
  <si>
    <t>object.NewPoint(-178.2421875, 85.02061448, 32768.0)</t>
    <phoneticPr fontId="3"/>
  </si>
  <si>
    <t>['10/2/0/10/0', '10/1/0/10/0', '10/0/0/10/0']</t>
    <phoneticPr fontId="3"/>
  </si>
  <si>
    <t>object.NewPoint(-179.82421875, 85.0359182614, 16384.0)</t>
    <phoneticPr fontId="3"/>
  </si>
  <si>
    <t>object.NewPoint(-179.12109375, 85.0359182614, 16384.0)</t>
    <phoneticPr fontId="3"/>
  </si>
  <si>
    <t>object.NewPoint(-179.912109375, 85.0435351431, 8192.0)</t>
    <phoneticPr fontId="3"/>
  </si>
  <si>
    <t>object.NewPoint(-179.560546875, 85.0435351431, 8192.0)</t>
    <phoneticPr fontId="3"/>
  </si>
  <si>
    <t>['11/2/0/11/0', '11/1/0/11/0', '11/0/0/11/0']</t>
    <phoneticPr fontId="3"/>
  </si>
  <si>
    <t>object.NewPoint(-179.9560546875, 85.0473348627, 4096.0)</t>
    <phoneticPr fontId="3"/>
  </si>
  <si>
    <t>object.NewPoint(-179.7802734375, 85.0473348627, 4096.0)</t>
    <phoneticPr fontId="3"/>
  </si>
  <si>
    <t>object.NewPoint(-179.97802734375, 85.049232546, 2048.0)</t>
    <phoneticPr fontId="3"/>
  </si>
  <si>
    <t>object.NewPoint(-179.89013671875, 85.049232546, 2048.0)</t>
    <phoneticPr fontId="3"/>
  </si>
  <si>
    <t>['13/2/0/13/0', '13/0/0/13/0', '13/1/0/13/0']</t>
    <phoneticPr fontId="3"/>
  </si>
  <si>
    <t>['12/0/0/12/0', '12/1/0/12/0', '12/2/0/12/0']</t>
    <phoneticPr fontId="3"/>
  </si>
  <si>
    <t>object.NewPoint(-179.989013671875, 85.050180844, 1024.0)</t>
    <phoneticPr fontId="3"/>
  </si>
  <si>
    <t>object.NewPoint(-179.945068359375, 85.050180844, 1024.0)</t>
    <phoneticPr fontId="3"/>
  </si>
  <si>
    <t>['14/1/0/14/0', '14/0/0/14/0', '14/2/0/14/0']</t>
    <phoneticPr fontId="3"/>
  </si>
  <si>
    <t>['15/1/0/15/0', '15/0/0/15/0', '15/2/0/15/0']</t>
    <phoneticPr fontId="3"/>
  </si>
  <si>
    <t>object.NewPoint(-179.9945068359375, 85.0506548571, 512.0)</t>
    <phoneticPr fontId="3"/>
  </si>
  <si>
    <t>object.NewPoint(-179.9725341796875, 85.0506548571, 512.0)</t>
    <phoneticPr fontId="3"/>
  </si>
  <si>
    <t>object.NewPoint(-179.99725341796875, 85.0508918298, 256.0)</t>
    <phoneticPr fontId="3"/>
  </si>
  <si>
    <t>object.NewPoint(-179.98626708984375, 85.0508918298, 256.0)</t>
    <phoneticPr fontId="3"/>
  </si>
  <si>
    <t>['16/1/0/16/0', '16/2/0/16/0', '16/0/0/16/0']</t>
    <phoneticPr fontId="3"/>
  </si>
  <si>
    <t>object.NewPoint(-179.99862670898438, 85.0510103076, 128.0)</t>
    <phoneticPr fontId="3"/>
  </si>
  <si>
    <t>object.NewPoint(-179.99313354492188, 85.0510103076, 128.0)</t>
    <phoneticPr fontId="3"/>
  </si>
  <si>
    <t>['17/1/0/17/0', '17/2/0/17/0', '17/0/0/17/0']</t>
    <phoneticPr fontId="3"/>
  </si>
  <si>
    <t>object.NewPoint(-179.9993133544922, 85.0510695444, 64.0)</t>
    <phoneticPr fontId="3"/>
  </si>
  <si>
    <t>object.NewPoint(-179.99656677246094, 85.0510695444, 64.0)</t>
    <phoneticPr fontId="3"/>
  </si>
  <si>
    <t>['18/0/0/18/0', '18/2/0/18/0', '18/1/0/18/0']</t>
    <phoneticPr fontId="3"/>
  </si>
  <si>
    <t>object.NewPoint(-179.9996566772461, 85.0510991622, 32.0)</t>
    <phoneticPr fontId="3"/>
  </si>
  <si>
    <t>object.NewPoint(-179.99828338623047, 85.0510991622, 32.0)</t>
    <phoneticPr fontId="3"/>
  </si>
  <si>
    <t>['19/1/0/19/0', '19/0/0/19/0', '19/2/0/19/0']</t>
    <phoneticPr fontId="3"/>
  </si>
  <si>
    <t>object.NewPoint(-179.99982833862305, 85.051113971, 16.0)</t>
    <phoneticPr fontId="3"/>
  </si>
  <si>
    <t>object.NewPoint(-179.99914169311523, 85.051113971, 16.0)</t>
    <phoneticPr fontId="3"/>
  </si>
  <si>
    <t>['20/1/0/20/0', '20/2/0/20/0', '20/0/0/20/0']</t>
    <phoneticPr fontId="3"/>
  </si>
  <si>
    <t>object.NewPoint(-179.99991416931152, 85.0511213754, 8.0)</t>
    <phoneticPr fontId="3"/>
  </si>
  <si>
    <t>object.NewPoint(-179.99957084655762, 85.0511213754, 8.0)</t>
    <phoneticPr fontId="3"/>
  </si>
  <si>
    <t>['21/2/0/21/0', '21/1/0/21/0', '21/0/0/21/0']</t>
    <phoneticPr fontId="3"/>
  </si>
  <si>
    <t>object.NewPoint(-179.99995708465576, 85.0511250776, 4.0)</t>
    <phoneticPr fontId="3"/>
  </si>
  <si>
    <t>object.NewPoint(-179.9997854232788, 85.0511250776, 4.0)</t>
    <phoneticPr fontId="3"/>
  </si>
  <si>
    <t>['22/2/0/22/0', '22/1/0/22/0', '22/0/0/22/0']</t>
    <phoneticPr fontId="3"/>
  </si>
  <si>
    <t>object.NewPoint(-179.99997854232788, 85.0511269287, 2.0)</t>
    <phoneticPr fontId="3"/>
  </si>
  <si>
    <t>object.NewPoint(-179.9998927116394, 85.0511269287, 2.0)</t>
    <phoneticPr fontId="3"/>
  </si>
  <si>
    <t>['23/0/0/23/0', '23/2/0/23/0', '23/1/0/23/0']</t>
    <phoneticPr fontId="3"/>
  </si>
  <si>
    <t>object.NewPoint(-179.99998927116394, 85.0511278542, 1.0)</t>
    <phoneticPr fontId="3"/>
  </si>
  <si>
    <t>object.NewPoint(-179.9999463558197, 85.0511278542, 1.0)</t>
    <phoneticPr fontId="3"/>
  </si>
  <si>
    <t>['24/0/0/24/0', '24/2/0/24/0', '24/1/0/24/0']</t>
    <phoneticPr fontId="3"/>
  </si>
  <si>
    <t>object.NewPoint(-179.99999463558197, 85.051128317, 0.5)</t>
    <phoneticPr fontId="3"/>
  </si>
  <si>
    <t>object.NewPoint(-179.99997317790985, 85.051128317, 0.5)</t>
    <phoneticPr fontId="3"/>
  </si>
  <si>
    <t>['25/0/0/25/0', '25/2/0/25/0', '25/1/0/25/0']</t>
    <phoneticPr fontId="3"/>
  </si>
  <si>
    <t>object.NewPoint(-179.99998658895493, 85.0511285484, 0.25)</t>
    <phoneticPr fontId="3"/>
  </si>
  <si>
    <t>['26/1/0/26/0', '26/0/0/26/0', '26/2/0/26/0']</t>
    <phoneticPr fontId="3"/>
  </si>
  <si>
    <t>object.NewPoint(-179.9999986588955, 85.051128664, 0.125)</t>
    <phoneticPr fontId="3"/>
  </si>
  <si>
    <t>object.NewPoint(-179.99999731779099, 85.0511285484, 0.25)</t>
    <phoneticPr fontId="3"/>
  </si>
  <si>
    <t>object.NewPoint(-179.99999329447746, 85.051128664, 0.125)</t>
    <phoneticPr fontId="3"/>
  </si>
  <si>
    <t>['27/1/0/27/0', '27/0/0/27/0', '27/2/0/27/0']</t>
    <phoneticPr fontId="3"/>
  </si>
  <si>
    <t>object.NewPoint(-179.99999932944775, 85.0511287219, 0.0625)</t>
    <phoneticPr fontId="3"/>
  </si>
  <si>
    <t>object.NewPoint(-179.99999664723873, 85.0511287219, 0.0625)</t>
    <phoneticPr fontId="3"/>
  </si>
  <si>
    <t>['28/2/0/28/0', '28/0/0/28/0', '28/1/0/28/0']</t>
    <phoneticPr fontId="3"/>
  </si>
  <si>
    <t>object.NewPoint(-179.99999966472387, 85.0511287508, 0.03125)</t>
    <phoneticPr fontId="3"/>
  </si>
  <si>
    <t>object.NewPoint(-179.99999832361937, 85.0511287508, 0.03125)</t>
    <phoneticPr fontId="3"/>
  </si>
  <si>
    <t>['29/0/0/29/0', '29/2/0/29/0', '29/1/0/29/0']</t>
    <phoneticPr fontId="3"/>
  </si>
  <si>
    <t>object.NewPoint(-179.99999983236194, 85.0511287653, 0.015625)</t>
    <phoneticPr fontId="3"/>
  </si>
  <si>
    <t>object.NewPoint(-179.99999916180968, 85.0511287653, 0.015625)</t>
    <phoneticPr fontId="3"/>
  </si>
  <si>
    <t>['30/1/0/30/0', '30/2/0/30/0', '30/0/0/30/0']</t>
    <phoneticPr fontId="3"/>
  </si>
  <si>
    <t>object.NewPoint(-179.99999991618097, 85.0511287725, 0.0078125)</t>
    <phoneticPr fontId="3"/>
  </si>
  <si>
    <t>object.NewPoint(-179.99999958090484, 85.0511287725, 0.0078125)</t>
    <phoneticPr fontId="3"/>
  </si>
  <si>
    <t>['31/2/0/31/0', '31/1/0/31/0', '31/0/0/31/0']</t>
    <phoneticPr fontId="3"/>
  </si>
  <si>
    <t>object.NewPoint(-179.99999995809048, 85.0511287761, 0.00390625)</t>
    <phoneticPr fontId="3"/>
  </si>
  <si>
    <t>object.NewPoint(-179.99999979045242, 85.0511287761, 0.00390625)</t>
    <phoneticPr fontId="3"/>
  </si>
  <si>
    <t>['32/2/0/32/0', '32/0/0/32/0', '32/1/0/32/0']</t>
    <phoneticPr fontId="3"/>
  </si>
  <si>
    <t>object.NewPoint(-179.99999997904524, 85.0511287779, 0.001953125)</t>
    <phoneticPr fontId="3"/>
  </si>
  <si>
    <t>object.NewPoint(-179.9999998952262, 85.0511287779, 0.001953125)</t>
    <phoneticPr fontId="3"/>
  </si>
  <si>
    <t>['33/2/0/33/0', '33/0/0/33/0', '33/1/0/33/0']</t>
    <phoneticPr fontId="3"/>
  </si>
  <si>
    <t>object.NewPoint(-179.99999998952262, 85.0511287788, 0.0009765625)</t>
    <phoneticPr fontId="3"/>
  </si>
  <si>
    <t>object.NewPoint(-179.9999999476131, 85.0511287788, 0.0009765625)</t>
    <phoneticPr fontId="3"/>
  </si>
  <si>
    <t>['34/1/0/34/0', '34/2/0/34/0', '34/0/0/34/0']</t>
    <phoneticPr fontId="3"/>
  </si>
  <si>
    <t>object.NewPoint(-179.9999999947613, 85.0511287793, 0.00048828125)</t>
    <phoneticPr fontId="3"/>
  </si>
  <si>
    <t>object.NewPoint(-179.99999997380655, 85.0511287793, 0.00048828125)</t>
    <phoneticPr fontId="3"/>
  </si>
  <si>
    <t>['35/0/0/35/0', '35/1/0/35/0', '35/2/0/35/0']</t>
    <phoneticPr fontId="3"/>
  </si>
  <si>
    <t xml:space="preserve">1. 引数に以下を指定して、shape.GetSpatialIdsOnLineを呼び出す。
　始点: object.NewPoint(-179.82421875, 85.0359182614, 16384.0)
　終点: object.NewPoint(-179.12109375, 84.9438129428, 147456.0)
　水平精度: 10
　垂直精度: 10
</t>
    <phoneticPr fontId="3"/>
  </si>
  <si>
    <t>・始点終点間の空間IDが全て取得できていること
　[10/0/0/10/0
　 10/0/0/10/1
　 10/0/1/10/1
　 10/1/1/10/1
　 10/1/1/10/2
　 10/1/2/10/2
　 10/1/2/10/3
　 10/2/2/10/3
　 10/2/3/10/3
　 10/2/3/10/4]
・エラーインスタンスが返却されていないこと
・空間IDデバッグログに以下のメッセージが出力されていること。
　"中点が始点・終点の周囲にあるため終了"
・空間IDデバッグログに以下のメッセージが出力されていないこと。
　"ベクトルの成分が閾値未満のため終了"</t>
    <rPh sb="1" eb="6">
      <t>シテンシュウテンカン</t>
    </rPh>
    <rPh sb="7" eb="9">
      <t>クウカン</t>
    </rPh>
    <rPh sb="12" eb="13">
      <t>スベ</t>
    </rPh>
    <rPh sb="14" eb="16">
      <t>シュトク</t>
    </rPh>
    <rPh sb="188" eb="190">
      <t>クウカン</t>
    </rPh>
    <rPh sb="199" eb="201">
      <t>イカ</t>
    </rPh>
    <rPh sb="208" eb="210">
      <t>シュツリョク</t>
    </rPh>
    <phoneticPr fontId="3"/>
  </si>
  <si>
    <t>経度が境界値以上から未満になるパターン</t>
    <rPh sb="0" eb="2">
      <t>ケイド</t>
    </rPh>
    <rPh sb="3" eb="5">
      <t>キョウカイ</t>
    </rPh>
    <rPh sb="5" eb="8">
      <t>アタイイジョウ</t>
    </rPh>
    <rPh sb="10" eb="12">
      <t>ミマン</t>
    </rPh>
    <phoneticPr fontId="3"/>
  </si>
  <si>
    <t>緯度が境界値以上から未満になるパターン</t>
    <rPh sb="0" eb="2">
      <t>イド</t>
    </rPh>
    <rPh sb="3" eb="5">
      <t>キョウカイ</t>
    </rPh>
    <rPh sb="5" eb="8">
      <t>アタイイジョウ</t>
    </rPh>
    <rPh sb="10" eb="12">
      <t>ミマン</t>
    </rPh>
    <phoneticPr fontId="3"/>
  </si>
  <si>
    <t>高さが境界値以上から未満になるパターン</t>
    <rPh sb="0" eb="1">
      <t>タカ</t>
    </rPh>
    <rPh sb="3" eb="5">
      <t>キョウカイ</t>
    </rPh>
    <rPh sb="5" eb="8">
      <t>アタイイジョウ</t>
    </rPh>
    <rPh sb="10" eb="12">
      <t>ミマン</t>
    </rPh>
    <phoneticPr fontId="3"/>
  </si>
  <si>
    <t>経度・緯度・高さが以上から未満になるパターン</t>
    <rPh sb="0" eb="2">
      <t>ケイド</t>
    </rPh>
    <rPh sb="3" eb="5">
      <t>イド</t>
    </rPh>
    <rPh sb="6" eb="7">
      <t>タカ</t>
    </rPh>
    <phoneticPr fontId="3"/>
  </si>
  <si>
    <t>本項目で取得される空間IDは、Python版で同じ値を入力した場合と差異がある。
線分の空間ID取得のロジックがGo版とPython版とで異なるため、差異が出ている可能性がある。
Python版は経度、緯度、高さ境界面と線分が接触している箇所の空間IDを取得するロジックだが、
Go版は線分の始点、終点間の中点を再帰的に取得し、その中点の空間IDを取得するロジックとなっている。</t>
    <phoneticPr fontId="3"/>
  </si>
  <si>
    <t>同上</t>
    <rPh sb="0" eb="2">
      <t>ドウジョウ</t>
    </rPh>
    <phoneticPr fontId="3"/>
  </si>
  <si>
    <t>宮原</t>
    <rPh sb="0" eb="2">
      <t>ミヤハラ</t>
    </rPh>
    <phoneticPr fontId="3"/>
  </si>
  <si>
    <t>OK</t>
  </si>
  <si>
    <t>中点取得の閾値がデフォルトの場合、線分中点と始点終点の距離のすべての成分が閾値未満となる線分の確認</t>
    <phoneticPr fontId="3"/>
  </si>
  <si>
    <t>中点取得の再起処理終了パターンの網羅</t>
  </si>
  <si>
    <t>1. 引数に以下を指定して、shape.GetSpatialIdsOnLineを呼び出す。
　始点: object.NewPoint(-179.9999999947613, 85.0511287793, 0.00048828125)
　終点: object.NewPoint(-179.99999993189704, 85.0511287738, 0.00048828125)
　水平精度: 35
　垂直精度: 35</t>
  </si>
  <si>
    <t>1. 引数に以下を指定して、shape.GetSpatialIdsOnLineを呼び出す。
　始点: object.NewPoint(-179.9999999947613, 85.0511287793, 0.00048828125)
　終点: object.NewPoint(-179.9999999947613, 85.0511287738, 0.00634765625)
　水平精度: 35
　垂直精度: 35</t>
  </si>
  <si>
    <t>1. 引数に以下を指定して、shape.GetSpatialIdsOnLineを呼び出す。
　始点: object.NewPoint(-179.9999999947613, 85.0511287793, 0.00048828125)
　終点: object.NewPoint(-179.99999993189704, 85.0511287738, 0.00634765625)
　水平精度: 35
　垂直精度: 35</t>
  </si>
  <si>
    <t>中点取得の閾値が高精度用の場合、線分中点と始点終点の距離のすべての成分が閾値未満となる線分の確認</t>
    <phoneticPr fontId="3"/>
  </si>
  <si>
    <t>同上</t>
    <phoneticPr fontId="3"/>
  </si>
  <si>
    <t xml:space="preserve">1. 引数に以下を指定して、shape.GetSpatialIdsOnLineを呼び出す。
　始点：object.NewPoint(-179.99999983236194, 85.0511287653, 0.001953125)
　終点：object.NewPoint(-179.99999782070518, 85.0511287653, 0.001953125)
　水平精度: 30
　垂直精度: 33
</t>
    <phoneticPr fontId="3"/>
  </si>
  <si>
    <t>経度方向に平行：デフォルト閾値</t>
    <rPh sb="0" eb="4">
      <t>ケイドホウコウ</t>
    </rPh>
    <rPh sb="5" eb="7">
      <t>ヘイコウ</t>
    </rPh>
    <rPh sb="13" eb="15">
      <t>イキチ</t>
    </rPh>
    <phoneticPr fontId="3"/>
  </si>
  <si>
    <t>経度方向に平行：高精度閾値</t>
    <rPh sb="0" eb="4">
      <t>ケイドホウコウ</t>
    </rPh>
    <rPh sb="5" eb="7">
      <t>ヘイコウ</t>
    </rPh>
    <rPh sb="8" eb="11">
      <t>コウセイド</t>
    </rPh>
    <rPh sb="11" eb="13">
      <t>イキチ</t>
    </rPh>
    <phoneticPr fontId="3"/>
  </si>
  <si>
    <t>緯度方向に平行：高精度閾値</t>
    <rPh sb="0" eb="2">
      <t>イド</t>
    </rPh>
    <rPh sb="2" eb="4">
      <t>ホウコウ</t>
    </rPh>
    <rPh sb="5" eb="7">
      <t>ヘイコウ</t>
    </rPh>
    <rPh sb="8" eb="11">
      <t>コウセイド</t>
    </rPh>
    <rPh sb="11" eb="13">
      <t>イキチ</t>
    </rPh>
    <phoneticPr fontId="3"/>
  </si>
  <si>
    <t>緯度方向に平行：デフォルト閾値</t>
    <rPh sb="0" eb="2">
      <t>イド</t>
    </rPh>
    <rPh sb="2" eb="4">
      <t>ホウコウ</t>
    </rPh>
    <rPh sb="5" eb="7">
      <t>ヘイコウ</t>
    </rPh>
    <rPh sb="13" eb="15">
      <t>イキチ</t>
    </rPh>
    <phoneticPr fontId="3"/>
  </si>
  <si>
    <t>1. 引数に以下を指定して、shape.GetSpatialIdsOnLineを呼び出す。
　始点：object.NewPoint(-179.99999983236194, 85.0511287653, 0.001953125)
　終点：object.NewPoint(-179.99999983236194, 85.0511285917, 0.001953125)
　水平精度: 30
　垂直精度: 33</t>
    <phoneticPr fontId="3"/>
  </si>
  <si>
    <t>1. 引数に以下を指定して、shape.GetSpatialIdsOnLineを呼び出す。
　始点：object.NewPoint(-179.99999983236194, 85.0511287653, 0.001953125)
　終点：object.NewPoint(-179.99999983236194, 85.0511287653, 0.025390625)
　水平精度: 30
　垂直精度: 33</t>
    <phoneticPr fontId="3"/>
  </si>
  <si>
    <t>1. 引数に以下を指定して、shape.GetSpatialIdsOnLineを呼び出す。
　始点：object.NewPoint(-179.99999991618097, 85.0511287725, 0.0009765625)
　終点：object.NewPoint(-179.9999989103526, 85.0511287725, 0.0009765625)
　水平精度: 31
　垂直精度: 34</t>
    <phoneticPr fontId="3"/>
  </si>
  <si>
    <t>1. 引数に以下を指定して、shape.GetSpatialIdsOnLineを呼び出す。
　始点：object.NewPoint(-179.99999991618097, 85.0511287725, 0.0009765625)
　終点：object.NewPoint(-179.99999991618097, 85.0511286857, 0.0009765625)
　水平精度: 31
　垂直精度: 34</t>
    <phoneticPr fontId="3"/>
  </si>
  <si>
    <t>1. 引数に以下を指定して、shape.GetSpatialIdsOnLineを呼び出す。
　始点：object.NewPoint(-179.99999991618097, 85.0511287725, 0.0009765625)
　終点：object.NewPoint(-179.99999991618097, 85.0511287725, 0.0126953125)
　水平精度: 31
　垂直精度: 34</t>
    <phoneticPr fontId="3"/>
  </si>
  <si>
    <t>・始点終点間の空間IDが全て取得できていること
　[30/0/0/33/0
　 30/1/0/33/0
　 30/2/0/33/0
　 30/3/0/33/0
　 30/4/0/33/0
　 30/5/0/33/0
　 30/6/0/33/0]
・エラーインスタンスが返却されていないこと
・空間IDデバッグログに以下のメッセージが出力されていること。
　"中点が始点・終点の周囲にあるため終了"
・空間IDデバッグログに以下のメッセージが出力されていないこと。
　"ベクトルの成分が閾値未満のため終了"</t>
    <rPh sb="1" eb="6">
      <t>シテンシュウテンカン</t>
    </rPh>
    <rPh sb="7" eb="9">
      <t>クウカン</t>
    </rPh>
    <rPh sb="12" eb="13">
      <t>スベ</t>
    </rPh>
    <rPh sb="14" eb="16">
      <t>シュトク</t>
    </rPh>
    <rPh sb="146" eb="148">
      <t>クウカン</t>
    </rPh>
    <rPh sb="157" eb="159">
      <t>イカ</t>
    </rPh>
    <rPh sb="166" eb="168">
      <t>シュツリョク</t>
    </rPh>
    <phoneticPr fontId="3"/>
  </si>
  <si>
    <t>・始点終点間の空間IDが全て取得できていること
　[31/0/0/34/0
　 31/1/0/34/0
　 31/2/0/34/0
　 31/3/0/34/0
　 31/4/0/34/0
　 31/5/0/34/0
　 31/6/0/34/0]
・エラーインスタンスが返却されていないこと
・空間IDデバッグログに以下のメッセージが出力されていること。
　"中点が始点・終点の周囲にあるため終了"
・空間IDデバッグログに以下のメッセージが出力されていないこと。
　"ベクトルの成分が閾値未満のため終了"</t>
    <rPh sb="1" eb="6">
      <t>シテンシュウテンカン</t>
    </rPh>
    <rPh sb="7" eb="9">
      <t>クウカン</t>
    </rPh>
    <rPh sb="12" eb="13">
      <t>スベ</t>
    </rPh>
    <rPh sb="14" eb="16">
      <t>シュトク</t>
    </rPh>
    <rPh sb="146" eb="148">
      <t>クウカン</t>
    </rPh>
    <rPh sb="157" eb="159">
      <t>イカ</t>
    </rPh>
    <rPh sb="166" eb="168">
      <t>シュツリョク</t>
    </rPh>
    <phoneticPr fontId="3"/>
  </si>
  <si>
    <t>・始点終点間の空間IDが全て取得できていること
　[31/0/0/34/0
　 31/0/0/34/1
　 31/0/0/34/2
　 31/0/0/34/3
　 31/0/0/34/4
　 31/0/0/34/5
　 31/0/0/34/6]
・エラーインスタンスが返却されていないこと
・空間IDデバッグログに以下のメッセージが出力されていること。
　"中点が始点・終点の周囲にあるため終了"
・空間IDデバッグログに以下のメッセージが出力されていないこと。
　"ベクトルの成分が閾値未満のため終了"</t>
    <rPh sb="1" eb="6">
      <t>シテンシュウテンカン</t>
    </rPh>
    <rPh sb="7" eb="9">
      <t>クウカン</t>
    </rPh>
    <rPh sb="12" eb="13">
      <t>スベ</t>
    </rPh>
    <rPh sb="14" eb="16">
      <t>シュトク</t>
    </rPh>
    <rPh sb="149" eb="151">
      <t>クウカン</t>
    </rPh>
    <rPh sb="160" eb="162">
      <t>イカ</t>
    </rPh>
    <rPh sb="169" eb="171">
      <t>シュツリョク</t>
    </rPh>
    <phoneticPr fontId="3"/>
  </si>
  <si>
    <t>・始点終点間の空間IDが全て取得できていること
　[30/0/0/33/0
　 30/0/0/33/1
　 30/0/0/33/2
　 30/0/0/33/3
　 30/0/0/33/4
　 30/0/0/33/5
　 30/0/0/33/6]
・エラーインスタンスが返却されていないこと
・空間IDデバッグログに以下のメッセージが出力されていること。
　"中点が始点・終点の周囲にあるため終了"
・空間IDデバッグログに以下のメッセージが出力されていないこと。
　"ベクトルの成分が閾値未満のため終了"</t>
    <rPh sb="1" eb="6">
      <t>シテンシュウテンカン</t>
    </rPh>
    <rPh sb="7" eb="9">
      <t>クウカン</t>
    </rPh>
    <rPh sb="12" eb="13">
      <t>スベ</t>
    </rPh>
    <rPh sb="14" eb="16">
      <t>シュトク</t>
    </rPh>
    <rPh sb="146" eb="148">
      <t>クウカン</t>
    </rPh>
    <rPh sb="157" eb="159">
      <t>イカ</t>
    </rPh>
    <rPh sb="166" eb="168">
      <t>シュツリョク</t>
    </rPh>
    <phoneticPr fontId="3"/>
  </si>
  <si>
    <t>・始点終点間の空間IDが全て取得できていること
　[31/0/0/34/0
　 31/0/1/34/0
　 31/0/2/34/0
　 31/0/3/34/0
　 31/0/4/34/0
　 31/0/5/34/0
　 31/0/6/34/0]
・エラーインスタンスが返却されていないこと
・空間IDデバッグログに以下のメッセージが出力されていること。
　"中点が始点・終点の周囲にあるため終了"
・空間IDデバッグログに以下のメッセージが出力されていないこと。
　"ベクトルの成分が閾値未満のため終了"</t>
    <rPh sb="1" eb="6">
      <t>シテンシュウテンカン</t>
    </rPh>
    <rPh sb="7" eb="9">
      <t>クウカン</t>
    </rPh>
    <rPh sb="12" eb="13">
      <t>スベ</t>
    </rPh>
    <rPh sb="14" eb="16">
      <t>シュトク</t>
    </rPh>
    <rPh sb="146" eb="148">
      <t>クウカン</t>
    </rPh>
    <rPh sb="157" eb="159">
      <t>イカ</t>
    </rPh>
    <rPh sb="166" eb="168">
      <t>シュツリョク</t>
    </rPh>
    <phoneticPr fontId="3"/>
  </si>
  <si>
    <t>・始点終点間の空間IDが全て取得できていること
　[30/0/0/33/0
　 30/0/1/33/0
　 30/0/2/33/0
　 30/0/3/33/0
　 30/0/4/33/0
　 30/0/5/33/0
　 30/0/6/33/0]
・エラーインスタンスが返却されていないこと
・空間IDデバッグログに以下のメッセージが出力されていること。
　"中点が始点・終点の周囲にあるため終了"
・空間IDデバッグログに以下のメッセージが出力されていないこと。
　"ベクトルの成分が閾値未満のため終了"</t>
    <rPh sb="1" eb="6">
      <t>シテンシュウテンカン</t>
    </rPh>
    <rPh sb="7" eb="9">
      <t>クウカン</t>
    </rPh>
    <rPh sb="12" eb="13">
      <t>スベ</t>
    </rPh>
    <rPh sb="14" eb="16">
      <t>シュトク</t>
    </rPh>
    <rPh sb="146" eb="148">
      <t>クウカン</t>
    </rPh>
    <rPh sb="157" eb="159">
      <t>イカ</t>
    </rPh>
    <rPh sb="166" eb="168">
      <t>シュツリョク</t>
    </rPh>
    <phoneticPr fontId="3"/>
  </si>
  <si>
    <t>宮原</t>
    <rPh sb="0" eb="2">
      <t>ミヤハラ</t>
    </rPh>
    <phoneticPr fontId="3"/>
  </si>
  <si>
    <t>OK</t>
    <phoneticPr fontId="3"/>
  </si>
  <si>
    <t>宮原</t>
    <rPh sb="0" eb="2">
      <t>ミヤハラ</t>
    </rPh>
    <phoneticPr fontId="3"/>
  </si>
  <si>
    <t>OK</t>
    <phoneticPr fontId="3"/>
  </si>
  <si>
    <t>1. 引数に以下を指定して、shape.GetSpatialIdsOnLineを呼び出す。
　始点: object.NewPoint(-179.99999983236194, 85.0511287653, 0.001953125)
　終点: object.NewPoint(-179.99999782070518, 85.0511285917, 0.001953125)
　水平精度: 30
　垂直精度: 33</t>
    <phoneticPr fontId="3"/>
  </si>
  <si>
    <t>・始点終点間の空間IDが全て取得できていること
　[30/0/0/33/0
　 30/1/1/33/0
　 30/2/2/33/0
　 30/3/3/33/0
　 30/4/4/33/0
　 30/5/5/33/0
　 30/6/6/33/0]
・エラーインスタンスが返却されていないこと
・空間IDデバッグログに以下のメッセージが出力されていること。
　"ベクトルの成分が閾値未満のため終了"
・空間IDデバッグログに以下の閾値が表示されていること。
　"ベクトル閾値:X=2e-08, Y=2e-08, Z=0.003"</t>
    <phoneticPr fontId="3"/>
  </si>
  <si>
    <t>1. 引数に以下を指定して、shape.GetSpatialIdsOnLineを呼び出す。
　始点: object.NewPoint(-179.99999983236194, 85.0511287653, 0.001953125)
　終点: object.NewPoint(-179.99999983236194, 85.0511285917, 0.025390625)
　水平精度: 30
　垂直精度: 33</t>
    <phoneticPr fontId="3"/>
  </si>
  <si>
    <t>・始点終点間の空間IDが全て取得できていること
　[30/0/0/33/0
　 30/0/1/33/1
　 30/0/2/33/2
　 30/0/3/33/3
　 30/0/4/33/4
　 30/0/5/33/5
　 30/0/6/33/6]
・エラーインスタンスが返却されていないこと
・空間IDデバッグログに以下のメッセージが出力されていること。
　"ベクトルの成分が閾値未満のため終了"
・空間IDデバッグログに以下の閾値が表示されていること。
　"ベクトル閾値:X=2e-08, Y=2e-08, Z=0.003"</t>
    <phoneticPr fontId="3"/>
  </si>
  <si>
    <t>1. 引数に以下を指定して、shape.GetSpatialIdsOnLineを呼び出す。
　始点: object.NewPoint(-179.99999983236194, 85.0511287653, 0.001953125)
　終点: object.NewPoint(-179.99999782070518, 85.0511285917, 0.025390625)
　水平精度: 30
　垂直精度: 33</t>
    <phoneticPr fontId="3"/>
  </si>
  <si>
    <t>・始点終点間の空間IDが全て取得できていること
　[30/0/0/33/0
 　30/1/1/33/1
 　30/2/2/33/2
 　30/3/3/33/3
 　30/4/4/33/4
 　30/5/5/33/5
 　30/6/6/33/6]
・エラーインスタンスが返却されていないこと
・空間IDデバッグログに以下のメッセージが出力されていること。
　"ベクトルの成分が閾値未満のため終了"
・空間IDデバッグログに以下の閾値が表示されていること。
　"ベクトル閾値:X=2e-08, Y=2e-08, Z=0.003"</t>
    <phoneticPr fontId="3"/>
  </si>
  <si>
    <t>・始点終点間の空間IDが全て取得できていること
　[35/0/0/35/0
　 35/0/1/35/0
　 35/1/1/35/0
　 35/2/2/35/0
　 35/2/3/35/0
　 35/3/3/35/0
　 35/4/4/35/0
　 35/5/5/35/0
　 35/5/6/35/0
　 35/6/6/35/0]
・エラーインスタンスが返却されていないこと
・空間IDデバッグログに以下のメッセージが出力されていること。
　"ベクトルの成分が閾値未満のため終了"
・空間IDデバッグログに以下の閾値が表示されていること。
　"ベクトル閾値:X=5e-09, Y=5e-10, Z=0.0005"</t>
    <phoneticPr fontId="3"/>
  </si>
  <si>
    <t>・始点終点間の空間IDが全て取得できていること
　[35/0/0/35/0
　 35/0/1/35/0
　 35/0/1/35/1
　 35/0/2/35/2
　 35/0/3/35/2
　 35/0/3/35/3
　 35/0/4/35/4
　 35/0/5/35/5
　 35/0/6/35/5
　 35/0/6/35/6]
・エラーインスタンスが返却されていないこと
・空間IDデバッグログに以下のメッセージが出力されていること。
　"ベクトルの成分が閾値未満のため終了"
・空間IDデバッグログに以下の閾値が表示されていること。
　"ベクトル閾値:X=5e-09, Y=5e-10, Z=0.0005"</t>
    <phoneticPr fontId="3"/>
  </si>
  <si>
    <t>・始点終点間の空間IDが全て取得できていること
　[35/0/0/35/0
　 35/0/1/35/0
　 35/1/1/35/1
　 35/2/2/35/2
　 35/2/3/35/2
　 35/3/3/35/3
　 35/4/4/35/4
　 35/5/5/35/5
　 35/5/6/35/5
　 35/6/6/35/6]
・エラーインスタンスが返却されていないこと
・空間IDデバッグログに以下のメッセージが出力されていること。
　"ベクトルの成分が閾値未満のため終了"
・空間IDデバッグログに以下の閾値が表示されていること。
　"ベクトル閾値:X=5e-09, Y=5e-10, Z=0.0005"</t>
    <phoneticPr fontId="3"/>
  </si>
  <si>
    <t>1.結合試験</t>
    <phoneticPr fontId="3"/>
  </si>
  <si>
    <t>線分APIの仕様変更の内容を項目に反映。
 - 中点取得の再帰処理関連の試験項目を修正/追加。</t>
    <rPh sb="0" eb="2">
      <t>センブン</t>
    </rPh>
    <rPh sb="6" eb="10">
      <t>シヨウヘンコウ</t>
    </rPh>
    <rPh sb="11" eb="13">
      <t>ナイヨウ</t>
    </rPh>
    <rPh sb="14" eb="16">
      <t>コウモク</t>
    </rPh>
    <rPh sb="17" eb="19">
      <t>ハンエイ</t>
    </rPh>
    <rPh sb="33" eb="35">
      <t>カンレン</t>
    </rPh>
    <rPh sb="41" eb="43">
      <t>シュウセイ</t>
    </rPh>
    <rPh sb="44" eb="46">
      <t>ツイカ</t>
    </rPh>
    <phoneticPr fontId="3"/>
  </si>
  <si>
    <t>高さ方向に平行：デフォルト閾値</t>
    <rPh sb="0" eb="1">
      <t>タカ</t>
    </rPh>
    <rPh sb="2" eb="4">
      <t>ホウコウ</t>
    </rPh>
    <rPh sb="5" eb="7">
      <t>ヘイコウ</t>
    </rPh>
    <rPh sb="13" eb="15">
      <t>イキチ</t>
    </rPh>
    <phoneticPr fontId="3"/>
  </si>
  <si>
    <t>高さ方向に平行：高精度閾値</t>
    <rPh sb="2" eb="4">
      <t>ホウコウ</t>
    </rPh>
    <rPh sb="5" eb="7">
      <t>ヘイコウ</t>
    </rPh>
    <rPh sb="8" eb="11">
      <t>コウセイド</t>
    </rPh>
    <rPh sb="11" eb="13">
      <t>イキチ</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</si>
</sst>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m/d"/>
    <numFmt numFmtId="177" formatCode="#,##0;\-#,##0;&quot;-&quot;"/>
    <numFmt numFmtId="178" formatCode="[$-411]ggge&quot;年&quot;m&quot;月&quot;d&quot;日&quot;;@"/>
    <numFmt numFmtId="179" formatCode="0.00_ "/>
    <numFmt numFmtId="180" formatCode="&quot;$&quot;#,##0_);\(&quot;$&quot;#,##0\)"/>
    <numFmt numFmtId="181" formatCode="&quot;¥&quot;&quot;¥&quot;&quot;¥&quot;&quot;¥&quot;&quot;¥&quot;&quot;¥&quot;&quot;¥&quot;\$#,##0_);[Red]&quot;¥&quot;&quot;¥&quot;&quot;¥&quot;&quot;¥&quot;&quot;¥&quot;&quot;¥&quot;&quot;¥&quot;\(&quot;¥&quot;&quot;¥&quot;&quot;¥&quot;&quot;¥&quot;&quot;¥&quot;&quot;¥&quot;&quot;¥&quot;\$#,##0&quot;¥&quot;&quot;¥&quot;&quot;¥&quot;&quot;¥&quot;&quot;¥&quot;&quot;¥&quot;&quot;¥&quot;\)"/>
    <numFmt numFmtId="182" formatCode="&quot;$&quot;#,##0_);[Red]\(&quot;$&quot;#,##0\)"/>
    <numFmt numFmtId="183" formatCode="&quot;$&quot;#,##0.00_);[Red]\(&quot;$&quot;#,##0.00\)"/>
    <numFmt numFmtId="184" formatCode="_ * #,##0_ ;_ * &quot;¥&quot;&quot;¥&quot;&quot;¥&quot;&quot;¥&quot;&quot;¥&quot;&quot;¥&quot;\-#,##0_ ;_ * &quot;-&quot;_ ;_ @_ "/>
    <numFmt numFmtId="185" formatCode="_ * #,##0.00_ ;_ * &quot;¥&quot;&quot;¥&quot;&quot;¥&quot;&quot;¥&quot;&quot;¥&quot;&quot;¥&quot;\-#,##0.00_ ;_ * &quot;-&quot;??_ ;_ @_ "/>
    <numFmt numFmtId="186" formatCode="0.00_)"/>
    <numFmt numFmtId="187" formatCode="#,##0_ ;[Red]\-#,##0\ "/>
    <numFmt numFmtId="188" formatCode="0_ ;[Red]\-0\ "/>
    <numFmt numFmtId="189" formatCode="0_);\(0\)"/>
    <numFmt numFmtId="190" formatCode="#,##0_ "/>
    <numFmt numFmtId="191" formatCode="[$-F800]dddd\,\ mmmm\ dd\,\ yyyy"/>
  </numFmts>
  <fonts count="34" x14ac:knownFonts="1">
    <font>
      <sz val="11"/>
      <name val="ＭＳ Ｐゴシック"/>
      <family val="3"/>
      <charset val="128"/>
    </font>
    <font>
      <sz val="11"/>
      <name val="ＭＳ Ｐゴシック"/>
      <family val="3"/>
      <charset val="128"/>
    </font>
    <font>
      <sz val="8"/>
      <name val="ＭＳ Ｐゴシック"/>
      <family val="3"/>
      <charset val="128"/>
    </font>
    <font>
      <sz val="6"/>
      <name val="ＭＳ Ｐゴシック"/>
      <family val="3"/>
      <charset val="128"/>
    </font>
    <font>
      <sz val="10"/>
      <name val="ＭＳ Ｐゴシック"/>
      <family val="3"/>
      <charset val="128"/>
    </font>
    <font>
      <b/>
      <sz val="8"/>
      <name val="ＭＳ Ｐゴシック"/>
      <family val="3"/>
      <charset val="128"/>
    </font>
    <font>
      <b/>
      <sz val="14"/>
      <name val="ＭＳ Ｐゴシック"/>
      <family val="3"/>
      <charset val="128"/>
    </font>
    <font>
      <sz val="10"/>
      <color indexed="8"/>
      <name val="Arial"/>
      <family val="2"/>
    </font>
    <font>
      <sz val="9"/>
      <name val="Times New Roman"/>
      <family val="1"/>
    </font>
    <font>
      <b/>
      <sz val="12"/>
      <name val="Arial"/>
      <family val="2"/>
    </font>
    <font>
      <sz val="10"/>
      <name val="Arial"/>
      <family val="2"/>
    </font>
    <font>
      <sz val="8"/>
      <color indexed="16"/>
      <name val="Century Schoolbook"/>
      <family val="1"/>
    </font>
    <font>
      <b/>
      <i/>
      <sz val="10"/>
      <name val="Times New Roman"/>
      <family val="1"/>
    </font>
    <font>
      <b/>
      <sz val="9"/>
      <name val="Times New Roman"/>
      <family val="1"/>
    </font>
    <font>
      <sz val="8"/>
      <name val="ＭＳ 明朝"/>
      <family val="1"/>
      <charset val="128"/>
    </font>
    <font>
      <sz val="11"/>
      <name val="ＭＳ 明朝"/>
      <family val="1"/>
      <charset val="128"/>
    </font>
    <font>
      <b/>
      <sz val="22"/>
      <name val="ＭＳ 明朝"/>
      <family val="1"/>
      <charset val="128"/>
    </font>
    <font>
      <b/>
      <sz val="24"/>
      <name val="ＭＳ 明朝"/>
      <family val="1"/>
      <charset val="128"/>
    </font>
    <font>
      <sz val="18"/>
      <name val="ＭＳ 明朝"/>
      <family val="1"/>
      <charset val="128"/>
    </font>
    <font>
      <sz val="14"/>
      <name val="ＭＳ 明朝"/>
      <family val="1"/>
      <charset val="128"/>
    </font>
    <font>
      <b/>
      <sz val="10"/>
      <name val="MS Sans Serif"/>
      <family val="2"/>
    </font>
    <font>
      <sz val="10"/>
      <name val="MS Sans Serif"/>
      <family val="2"/>
    </font>
    <font>
      <sz val="11"/>
      <name val="ＭＳ ゴシック"/>
      <family val="3"/>
      <charset val="128"/>
    </font>
    <font>
      <sz val="8"/>
      <name val="Arial"/>
      <family val="2"/>
    </font>
    <font>
      <b/>
      <i/>
      <sz val="16"/>
      <name val="Helv"/>
      <family val="2"/>
    </font>
    <font>
      <b/>
      <i/>
      <sz val="11"/>
      <name val="ＭＳ Ｐゴシック"/>
      <family val="3"/>
      <charset val="128"/>
    </font>
    <font>
      <sz val="11"/>
      <color theme="1"/>
      <name val="ＭＳ Ｐゴシック"/>
      <family val="3"/>
      <charset val="128"/>
      <scheme val="minor"/>
    </font>
    <font>
      <sz val="11"/>
      <color theme="1"/>
      <name val="ＭＳ Ｐゴシック"/>
      <family val="2"/>
      <scheme val="minor"/>
    </font>
    <font>
      <sz val="9"/>
      <color theme="1"/>
      <name val="ＭＳ Ｐゴシック"/>
      <family val="2"/>
      <charset val="128"/>
      <scheme val="minor"/>
    </font>
    <font>
      <b/>
      <sz val="10"/>
      <name val="ＭＳ Ｐゴシック"/>
      <family val="3"/>
      <charset val="128"/>
    </font>
    <font>
      <b/>
      <sz val="16"/>
      <name val="ＭＳ Ｐゴシック"/>
      <family val="3"/>
      <charset val="128"/>
    </font>
    <font>
      <b/>
      <sz val="11"/>
      <name val="ＭＳ Ｐゴシック"/>
      <family val="3"/>
      <charset val="128"/>
    </font>
    <font>
      <sz val="6"/>
      <name val="ＭＳ Ｐゴシック"/>
      <family val="3"/>
      <charset val="128"/>
      <scheme val="minor"/>
    </font>
    <font>
      <sz val="9"/>
      <name val="ＭＳ Ｐゴシック"/>
      <family val="3"/>
      <charset val="128"/>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lightGray"/>
    </fill>
    <fill>
      <patternFill patternType="solid">
        <fgColor theme="0"/>
        <bgColor indexed="64"/>
      </patternFill>
    </fill>
    <fill>
      <patternFill patternType="solid">
        <fgColor rgb="FFCCFFCC"/>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s>
  <borders count="45">
    <border>
      <left/>
      <right/>
      <top/>
      <bottom/>
      <diagonal/>
    </border>
    <border>
      <left/>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4">
    <xf numFmtId="0" fontId="0" fillId="0" borderId="0"/>
    <xf numFmtId="180" fontId="20" fillId="0" borderId="1" applyAlignment="0" applyProtection="0"/>
    <xf numFmtId="177" fontId="7" fillId="0" borderId="0" applyFill="0" applyBorder="0" applyAlignment="0"/>
    <xf numFmtId="38" fontId="21" fillId="0" borderId="0" applyFont="0" applyFill="0" applyBorder="0" applyAlignment="0" applyProtection="0"/>
    <xf numFmtId="181" fontId="22" fillId="0" borderId="0"/>
    <xf numFmtId="182" fontId="21" fillId="0" borderId="0" applyFont="0" applyFill="0" applyBorder="0" applyAlignment="0" applyProtection="0"/>
    <xf numFmtId="183" fontId="21" fillId="0" borderId="0" applyFont="0" applyFill="0" applyBorder="0" applyAlignment="0" applyProtection="0"/>
    <xf numFmtId="184" fontId="22" fillId="0" borderId="0"/>
    <xf numFmtId="185" fontId="22" fillId="0" borderId="0"/>
    <xf numFmtId="0" fontId="8" fillId="0" borderId="0">
      <alignment horizontal="left"/>
    </xf>
    <xf numFmtId="38" fontId="23" fillId="2" borderId="0" applyNumberFormat="0" applyBorder="0" applyAlignment="0" applyProtection="0"/>
    <xf numFmtId="0" fontId="9" fillId="0" borderId="2" applyNumberFormat="0" applyAlignment="0" applyProtection="0">
      <alignment horizontal="left" vertical="center"/>
    </xf>
    <xf numFmtId="0" fontId="9" fillId="0" borderId="3">
      <alignment horizontal="left" vertical="center"/>
    </xf>
    <xf numFmtId="10" fontId="23" fillId="3" borderId="4" applyNumberFormat="0" applyBorder="0" applyAlignment="0" applyProtection="0"/>
    <xf numFmtId="186" fontId="24" fillId="0" borderId="0"/>
    <xf numFmtId="0" fontId="10" fillId="0" borderId="0"/>
    <xf numFmtId="10" fontId="10" fillId="0" borderId="0" applyFont="0" applyFill="0" applyBorder="0" applyAlignment="0" applyProtection="0"/>
    <xf numFmtId="4" fontId="8" fillId="0" borderId="0">
      <alignment horizontal="right"/>
    </xf>
    <xf numFmtId="0" fontId="21" fillId="0" borderId="0" applyNumberFormat="0" applyFont="0" applyFill="0" applyBorder="0" applyAlignment="0" applyProtection="0">
      <alignment horizontal="left"/>
    </xf>
    <xf numFmtId="0" fontId="20" fillId="0" borderId="5">
      <alignment horizontal="center"/>
    </xf>
    <xf numFmtId="4" fontId="11" fillId="0" borderId="0">
      <alignment horizontal="right"/>
    </xf>
    <xf numFmtId="0" fontId="12" fillId="0" borderId="0">
      <alignment horizontal="left"/>
    </xf>
    <xf numFmtId="0" fontId="13" fillId="0" borderId="0">
      <alignment horizontal="center"/>
    </xf>
    <xf numFmtId="187" fontId="4" fillId="0" borderId="0" applyBorder="0">
      <alignment horizontal="right"/>
    </xf>
    <xf numFmtId="49" fontId="1" fillId="0" borderId="0" applyFont="0"/>
    <xf numFmtId="188" fontId="4" fillId="0" borderId="0" applyFill="0" applyBorder="0"/>
    <xf numFmtId="187" fontId="4" fillId="0" borderId="0" applyFill="0" applyBorder="0"/>
    <xf numFmtId="189" fontId="4" fillId="0" borderId="0" applyBorder="0">
      <alignment horizontal="left"/>
    </xf>
    <xf numFmtId="49" fontId="4" fillId="4" borderId="6">
      <alignment horizontal="center"/>
    </xf>
    <xf numFmtId="190" fontId="4" fillId="4" borderId="6">
      <alignment horizontal="right"/>
    </xf>
    <xf numFmtId="14" fontId="4" fillId="4" borderId="0" applyBorder="0">
      <alignment horizontal="center"/>
    </xf>
    <xf numFmtId="49" fontId="4" fillId="0" borderId="6"/>
    <xf numFmtId="14" fontId="4" fillId="0" borderId="7" applyBorder="0">
      <alignment horizontal="left"/>
    </xf>
    <xf numFmtId="14" fontId="4" fillId="0" borderId="0" applyFill="0" applyBorder="0"/>
    <xf numFmtId="0" fontId="1" fillId="0" borderId="0"/>
    <xf numFmtId="0" fontId="26" fillId="0" borderId="0">
      <alignment vertical="center"/>
    </xf>
    <xf numFmtId="0" fontId="1" fillId="0" borderId="0">
      <alignment vertical="center"/>
    </xf>
    <xf numFmtId="49" fontId="4" fillId="0" borderId="0"/>
    <xf numFmtId="0" fontId="19" fillId="0" borderId="0"/>
    <xf numFmtId="0" fontId="25" fillId="5" borderId="0">
      <alignment horizontal="center"/>
    </xf>
    <xf numFmtId="0" fontId="1" fillId="0" borderId="0"/>
    <xf numFmtId="0" fontId="1" fillId="0" borderId="0"/>
    <xf numFmtId="0" fontId="27" fillId="0" borderId="0"/>
    <xf numFmtId="0" fontId="28" fillId="0" borderId="0">
      <alignment vertical="center"/>
    </xf>
  </cellStyleXfs>
  <cellXfs count="168">
    <xf numFmtId="0" fontId="0" fillId="0" borderId="0" xfId="0"/>
    <xf numFmtId="14" fontId="2" fillId="0" borderId="0" xfId="0" applyNumberFormat="1" applyFont="1" applyAlignment="1">
      <alignment horizontal="center" vertical="center"/>
    </xf>
    <xf numFmtId="0" fontId="14" fillId="4" borderId="0" xfId="36" applyFont="1" applyFill="1" applyBorder="1" applyAlignment="1">
      <alignment horizontal="center" vertical="top" wrapText="1"/>
    </xf>
    <xf numFmtId="0" fontId="14" fillId="4" borderId="9" xfId="36" applyFont="1" applyFill="1" applyBorder="1" applyAlignment="1">
      <alignment horizontal="center" vertical="center" wrapText="1"/>
    </xf>
    <xf numFmtId="0" fontId="14" fillId="4" borderId="9" xfId="36" applyFont="1" applyFill="1" applyBorder="1" applyAlignment="1">
      <alignment horizontal="center" vertical="top" wrapText="1"/>
    </xf>
    <xf numFmtId="0" fontId="14" fillId="4" borderId="9" xfId="36" applyFont="1" applyFill="1" applyBorder="1" applyAlignment="1">
      <alignment vertical="top" wrapText="1"/>
    </xf>
    <xf numFmtId="14" fontId="14" fillId="4" borderId="9" xfId="36" applyNumberFormat="1" applyFont="1" applyFill="1" applyBorder="1" applyAlignment="1">
      <alignment horizontal="left" vertical="center" wrapText="1"/>
    </xf>
    <xf numFmtId="0" fontId="14" fillId="4" borderId="0" xfId="36" applyFont="1" applyFill="1" applyBorder="1" applyAlignment="1">
      <alignment vertical="top" wrapText="1"/>
    </xf>
    <xf numFmtId="0" fontId="14" fillId="4" borderId="0" xfId="36" applyFont="1" applyFill="1" applyBorder="1" applyAlignment="1">
      <alignment horizontal="center" vertical="center" wrapText="1"/>
    </xf>
    <xf numFmtId="14" fontId="14" fillId="4" borderId="0" xfId="36" applyNumberFormat="1" applyFont="1" applyFill="1" applyBorder="1" applyAlignment="1">
      <alignment horizontal="left" vertical="center" wrapText="1"/>
    </xf>
    <xf numFmtId="176" fontId="14" fillId="4" borderId="0" xfId="36" applyNumberFormat="1" applyFont="1" applyFill="1" applyBorder="1" applyAlignment="1">
      <alignment horizontal="center" vertical="top" wrapText="1"/>
    </xf>
    <xf numFmtId="57" fontId="14" fillId="4" borderId="0" xfId="36" applyNumberFormat="1" applyFont="1" applyFill="1" applyBorder="1" applyAlignment="1">
      <alignment horizontal="center" vertical="top" wrapText="1"/>
    </xf>
    <xf numFmtId="0" fontId="14" fillId="4" borderId="0" xfId="34" applyFont="1" applyFill="1" applyBorder="1" applyAlignment="1">
      <alignment horizontal="center" vertical="top" wrapText="1"/>
    </xf>
    <xf numFmtId="0" fontId="14" fillId="4" borderId="0" xfId="34" applyFont="1" applyFill="1" applyBorder="1" applyAlignment="1">
      <alignment horizontal="left" vertical="top" wrapText="1"/>
    </xf>
    <xf numFmtId="0" fontId="15" fillId="4" borderId="0" xfId="34" applyFont="1" applyFill="1" applyBorder="1" applyAlignment="1">
      <alignment vertical="top" wrapText="1"/>
    </xf>
    <xf numFmtId="14" fontId="14" fillId="4" borderId="0" xfId="36" applyNumberFormat="1" applyFont="1" applyFill="1" applyBorder="1" applyAlignment="1">
      <alignment horizontal="center" vertical="center" wrapText="1"/>
    </xf>
    <xf numFmtId="0" fontId="16" fillId="4" borderId="0" xfId="34" applyFont="1" applyFill="1" applyBorder="1" applyAlignment="1">
      <alignment vertical="center" wrapText="1"/>
    </xf>
    <xf numFmtId="0" fontId="14" fillId="4" borderId="0" xfId="34" applyFont="1" applyFill="1" applyBorder="1" applyAlignment="1">
      <alignment vertical="top" wrapText="1"/>
    </xf>
    <xf numFmtId="0" fontId="14" fillId="4" borderId="0" xfId="36" applyFont="1" applyFill="1" applyBorder="1" applyAlignment="1">
      <alignment vertical="top"/>
    </xf>
    <xf numFmtId="0" fontId="2" fillId="0" borderId="0" xfId="0" applyFont="1"/>
    <xf numFmtId="0" fontId="2" fillId="0" borderId="0" xfId="0" applyFont="1" applyFill="1"/>
    <xf numFmtId="0" fontId="2" fillId="0" borderId="0" xfId="0" applyFont="1" applyAlignment="1">
      <alignment horizontal="center" vertical="center"/>
    </xf>
    <xf numFmtId="0" fontId="6" fillId="0" borderId="0" xfId="0" applyFont="1" applyAlignment="1">
      <alignment vertical="center"/>
    </xf>
    <xf numFmtId="0" fontId="2" fillId="0" borderId="0" xfId="0" applyFont="1" applyAlignment="1">
      <alignment vertical="center"/>
    </xf>
    <xf numFmtId="0" fontId="2" fillId="0" borderId="0" xfId="0" applyFont="1" applyFill="1" applyAlignment="1">
      <alignment vertical="center"/>
    </xf>
    <xf numFmtId="0" fontId="2" fillId="6" borderId="0" xfId="0" applyFont="1" applyFill="1"/>
    <xf numFmtId="0" fontId="2" fillId="6" borderId="4" xfId="0" applyFont="1" applyFill="1" applyBorder="1" applyAlignment="1">
      <alignment horizontal="left" vertical="top" wrapText="1"/>
    </xf>
    <xf numFmtId="14" fontId="2" fillId="6" borderId="8" xfId="0" applyNumberFormat="1" applyFont="1" applyFill="1" applyBorder="1" applyAlignment="1">
      <alignment horizontal="center" vertical="center"/>
    </xf>
    <xf numFmtId="0" fontId="2" fillId="6" borderId="8" xfId="0" applyFont="1" applyFill="1" applyBorder="1" applyAlignment="1">
      <alignment horizontal="center" vertical="center"/>
    </xf>
    <xf numFmtId="0" fontId="2" fillId="6" borderId="10" xfId="0" applyFont="1" applyFill="1" applyBorder="1" applyAlignment="1">
      <alignment horizontal="left" vertical="top" wrapText="1"/>
    </xf>
    <xf numFmtId="0" fontId="2" fillId="0" borderId="0" xfId="0" applyFont="1" applyAlignment="1">
      <alignment horizontal="left" vertical="center" wrapText="1"/>
    </xf>
    <xf numFmtId="0" fontId="1" fillId="0" borderId="0" xfId="0" applyFont="1" applyBorder="1" applyAlignment="1">
      <alignment horizontal="left" vertical="top" wrapText="1"/>
    </xf>
    <xf numFmtId="0" fontId="2" fillId="0" borderId="0" xfId="0" applyFont="1" applyFill="1" applyBorder="1" applyAlignment="1">
      <alignment vertical="center"/>
    </xf>
    <xf numFmtId="0" fontId="1" fillId="0" borderId="0" xfId="0" applyFont="1" applyBorder="1" applyAlignment="1">
      <alignment horizontal="center" vertical="top" wrapText="1"/>
    </xf>
    <xf numFmtId="0" fontId="2" fillId="6" borderId="8" xfId="0" applyFont="1" applyFill="1" applyBorder="1" applyAlignment="1">
      <alignment horizontal="left" vertical="top" wrapText="1"/>
    </xf>
    <xf numFmtId="0" fontId="0" fillId="0" borderId="4" xfId="0" applyBorder="1" applyAlignment="1">
      <alignment vertical="top" wrapText="1"/>
    </xf>
    <xf numFmtId="0" fontId="30" fillId="0" borderId="0" xfId="0" applyFont="1"/>
    <xf numFmtId="0" fontId="0" fillId="0" borderId="8" xfId="0" applyBorder="1" applyAlignment="1">
      <alignment vertical="top" wrapText="1"/>
    </xf>
    <xf numFmtId="0" fontId="14" fillId="4" borderId="0" xfId="36" applyFont="1" applyFill="1" applyAlignment="1">
      <alignment vertical="top" wrapText="1"/>
    </xf>
    <xf numFmtId="178" fontId="15" fillId="0" borderId="4" xfId="36" applyNumberFormat="1" applyFont="1" applyBorder="1">
      <alignment vertical="center"/>
    </xf>
    <xf numFmtId="179" fontId="15" fillId="0" borderId="4" xfId="36" applyNumberFormat="1" applyFont="1" applyBorder="1" applyAlignment="1">
      <alignment horizontal="center" vertical="center"/>
    </xf>
    <xf numFmtId="0" fontId="15" fillId="0" borderId="4" xfId="36" applyFont="1" applyBorder="1">
      <alignment vertical="center"/>
    </xf>
    <xf numFmtId="0" fontId="2" fillId="6" borderId="10" xfId="0" applyFont="1" applyFill="1" applyBorder="1" applyAlignment="1">
      <alignment horizontal="center" vertical="top" wrapText="1"/>
    </xf>
    <xf numFmtId="0" fontId="2" fillId="6" borderId="4" xfId="0" applyFont="1" applyFill="1" applyBorder="1" applyAlignment="1">
      <alignment horizontal="center"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5" xfId="0" applyBorder="1" applyAlignment="1">
      <alignment vertical="top" wrapText="1"/>
    </xf>
    <xf numFmtId="0" fontId="0" fillId="0" borderId="26" xfId="0" applyBorder="1" applyAlignment="1">
      <alignment vertical="top" wrapText="1"/>
    </xf>
    <xf numFmtId="0" fontId="0" fillId="0" borderId="18" xfId="0" applyBorder="1" applyAlignment="1">
      <alignment vertical="top" wrapText="1"/>
    </xf>
    <xf numFmtId="0" fontId="0" fillId="0" borderId="27" xfId="0" applyBorder="1" applyAlignment="1">
      <alignment vertical="top" wrapText="1"/>
    </xf>
    <xf numFmtId="0" fontId="0" fillId="0" borderId="28" xfId="0" applyBorder="1" applyAlignment="1">
      <alignment vertical="top" wrapText="1"/>
    </xf>
    <xf numFmtId="0" fontId="2" fillId="0" borderId="11" xfId="0" applyFont="1" applyFill="1" applyBorder="1" applyAlignment="1">
      <alignment horizontal="center" vertical="top" wrapText="1"/>
    </xf>
    <xf numFmtId="0" fontId="2" fillId="0" borderId="12" xfId="0" applyFont="1" applyFill="1" applyBorder="1" applyAlignment="1">
      <alignment horizontal="center" vertical="top" wrapText="1"/>
    </xf>
    <xf numFmtId="0" fontId="0" fillId="0" borderId="29" xfId="0" applyBorder="1" applyAlignment="1">
      <alignment vertical="top" wrapText="1"/>
    </xf>
    <xf numFmtId="0" fontId="0" fillId="0" borderId="30" xfId="0" applyBorder="1" applyAlignment="1">
      <alignment vertical="top" wrapText="1"/>
    </xf>
    <xf numFmtId="0" fontId="0" fillId="0" borderId="16" xfId="0" applyBorder="1" applyAlignment="1">
      <alignment horizontal="right"/>
    </xf>
    <xf numFmtId="0" fontId="29" fillId="7" borderId="11" xfId="0" applyFont="1" applyFill="1" applyBorder="1" applyAlignment="1">
      <alignment horizontal="center" vertical="center" wrapText="1"/>
    </xf>
    <xf numFmtId="0" fontId="29" fillId="7" borderId="10" xfId="0" applyFont="1" applyFill="1" applyBorder="1" applyAlignment="1">
      <alignment horizontal="center" vertical="center" wrapText="1"/>
    </xf>
    <xf numFmtId="0" fontId="29" fillId="7" borderId="19" xfId="0" applyFont="1" applyFill="1" applyBorder="1" applyAlignment="1">
      <alignment horizontal="center" vertical="center" wrapText="1"/>
    </xf>
    <xf numFmtId="0" fontId="15" fillId="7" borderId="4" xfId="36" applyFont="1" applyFill="1" applyBorder="1">
      <alignment vertical="center"/>
    </xf>
    <xf numFmtId="0" fontId="15" fillId="7" borderId="4" xfId="36" applyFont="1" applyFill="1" applyBorder="1" applyAlignment="1">
      <alignment horizontal="center" vertical="center"/>
    </xf>
    <xf numFmtId="0" fontId="5" fillId="7" borderId="15"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4" xfId="0" applyFont="1" applyFill="1" applyBorder="1" applyAlignment="1">
      <alignment horizontal="center" vertical="center" wrapText="1"/>
    </xf>
    <xf numFmtId="14" fontId="5" fillId="7" borderId="13" xfId="0" applyNumberFormat="1" applyFont="1" applyFill="1" applyBorder="1" applyAlignment="1">
      <alignment horizontal="center" vertical="center"/>
    </xf>
    <xf numFmtId="0" fontId="5" fillId="7" borderId="13" xfId="0" applyNumberFormat="1" applyFont="1" applyFill="1" applyBorder="1" applyAlignment="1">
      <alignment horizontal="center" vertical="center" wrapText="1"/>
    </xf>
    <xf numFmtId="191" fontId="15" fillId="0" borderId="4" xfId="36" applyNumberFormat="1" applyFont="1" applyBorder="1">
      <alignment vertical="center"/>
    </xf>
    <xf numFmtId="14" fontId="2" fillId="0" borderId="13" xfId="0" applyNumberFormat="1" applyFont="1" applyBorder="1" applyAlignment="1">
      <alignment horizontal="center" vertical="center"/>
    </xf>
    <xf numFmtId="0" fontId="2" fillId="0" borderId="13" xfId="0" applyFont="1" applyBorder="1" applyAlignment="1">
      <alignment horizontal="center" vertical="center"/>
    </xf>
    <xf numFmtId="0" fontId="2" fillId="0" borderId="13" xfId="0" applyFont="1" applyBorder="1" applyAlignment="1">
      <alignment horizontal="center" vertical="center" wrapText="1"/>
    </xf>
    <xf numFmtId="14" fontId="2" fillId="0" borderId="4" xfId="0" applyNumberFormat="1"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0" fillId="6" borderId="0" xfId="34" applyFont="1" applyFill="1"/>
    <xf numFmtId="0" fontId="0" fillId="6" borderId="0" xfId="0" applyFill="1"/>
    <xf numFmtId="0" fontId="1" fillId="8" borderId="4" xfId="34" applyFill="1" applyBorder="1"/>
    <xf numFmtId="0" fontId="1" fillId="9" borderId="4" xfId="34" applyFill="1" applyBorder="1"/>
    <xf numFmtId="0" fontId="1" fillId="6" borderId="4" xfId="34" applyFill="1" applyBorder="1" applyAlignment="1">
      <alignment horizontal="center" vertical="center"/>
    </xf>
    <xf numFmtId="0" fontId="0" fillId="6" borderId="4" xfId="34" applyFont="1" applyFill="1" applyBorder="1" applyAlignment="1">
      <alignment wrapText="1"/>
    </xf>
    <xf numFmtId="0" fontId="0" fillId="0" borderId="0" xfId="34" applyFont="1"/>
    <xf numFmtId="0" fontId="0" fillId="8" borderId="4" xfId="34" applyFont="1" applyFill="1" applyBorder="1" applyAlignment="1">
      <alignment horizontal="center"/>
    </xf>
    <xf numFmtId="0" fontId="1" fillId="0" borderId="0" xfId="0" applyFont="1"/>
    <xf numFmtId="0" fontId="1" fillId="0" borderId="32" xfId="0" applyFont="1" applyBorder="1"/>
    <xf numFmtId="0" fontId="1" fillId="0" borderId="34" xfId="0" applyFont="1" applyBorder="1"/>
    <xf numFmtId="0" fontId="1" fillId="0" borderId="35" xfId="0" applyFont="1" applyBorder="1"/>
    <xf numFmtId="0" fontId="1" fillId="0" borderId="36" xfId="0" applyFont="1" applyBorder="1"/>
    <xf numFmtId="0" fontId="1" fillId="0" borderId="37" xfId="0" applyFont="1" applyBorder="1"/>
    <xf numFmtId="0" fontId="1" fillId="10" borderId="36" xfId="0" applyFont="1" applyFill="1" applyBorder="1"/>
    <xf numFmtId="0" fontId="1" fillId="10" borderId="37" xfId="0" applyFont="1" applyFill="1" applyBorder="1"/>
    <xf numFmtId="0" fontId="1" fillId="0" borderId="38" xfId="0" applyFont="1" applyBorder="1"/>
    <xf numFmtId="0" fontId="1" fillId="0" borderId="39" xfId="0" applyFont="1" applyBorder="1"/>
    <xf numFmtId="0" fontId="1" fillId="0" borderId="40" xfId="0" applyFont="1" applyBorder="1"/>
    <xf numFmtId="0" fontId="1" fillId="0" borderId="41" xfId="0" applyFont="1" applyBorder="1"/>
    <xf numFmtId="0" fontId="1" fillId="10" borderId="40" xfId="0" applyFont="1" applyFill="1" applyBorder="1"/>
    <xf numFmtId="0" fontId="1" fillId="10" borderId="41" xfId="0" applyFont="1" applyFill="1" applyBorder="1"/>
    <xf numFmtId="0" fontId="1" fillId="0" borderId="33" xfId="0" applyFont="1" applyBorder="1"/>
    <xf numFmtId="0" fontId="1" fillId="0" borderId="43" xfId="0" applyFont="1" applyBorder="1"/>
    <xf numFmtId="0" fontId="1" fillId="0" borderId="44" xfId="0" applyFont="1" applyBorder="1"/>
    <xf numFmtId="0" fontId="1" fillId="0" borderId="8" xfId="0" applyFont="1" applyBorder="1"/>
    <xf numFmtId="0" fontId="1" fillId="0" borderId="42" xfId="0" applyFont="1" applyBorder="1"/>
    <xf numFmtId="0" fontId="0" fillId="0" borderId="34" xfId="0" applyBorder="1"/>
    <xf numFmtId="0" fontId="0" fillId="0" borderId="35" xfId="0" applyBorder="1"/>
    <xf numFmtId="0" fontId="0" fillId="0" borderId="32" xfId="0" applyBorder="1"/>
    <xf numFmtId="0" fontId="0" fillId="0" borderId="33" xfId="0" applyBorder="1"/>
    <xf numFmtId="0" fontId="0" fillId="0" borderId="4" xfId="0" applyBorder="1"/>
    <xf numFmtId="0" fontId="0" fillId="0" borderId="3" xfId="0" applyBorder="1"/>
    <xf numFmtId="0" fontId="0" fillId="0" borderId="0" xfId="0" applyBorder="1"/>
    <xf numFmtId="0" fontId="0" fillId="0" borderId="34" xfId="0" applyBorder="1" applyAlignment="1">
      <alignment wrapText="1"/>
    </xf>
    <xf numFmtId="0" fontId="0" fillId="8" borderId="34" xfId="34" applyFont="1" applyFill="1" applyBorder="1" applyAlignment="1">
      <alignment horizontal="center"/>
    </xf>
    <xf numFmtId="0" fontId="31" fillId="10" borderId="4" xfId="0" applyFont="1" applyFill="1" applyBorder="1"/>
    <xf numFmtId="0" fontId="31" fillId="10" borderId="34" xfId="0" applyFont="1" applyFill="1" applyBorder="1"/>
    <xf numFmtId="0" fontId="31" fillId="10" borderId="35" xfId="0" applyFont="1" applyFill="1" applyBorder="1"/>
    <xf numFmtId="0" fontId="31" fillId="10" borderId="3" xfId="0" applyFont="1" applyFill="1" applyBorder="1"/>
    <xf numFmtId="0" fontId="31" fillId="6" borderId="0" xfId="34" applyFont="1" applyFill="1"/>
    <xf numFmtId="0" fontId="31" fillId="0" borderId="0" xfId="0" applyFont="1"/>
    <xf numFmtId="0" fontId="31" fillId="0" borderId="0" xfId="34" applyFont="1"/>
    <xf numFmtId="0" fontId="0" fillId="0" borderId="0" xfId="0" applyAlignment="1">
      <alignment wrapText="1"/>
    </xf>
    <xf numFmtId="0" fontId="0" fillId="0" borderId="0" xfId="0" applyFill="1" applyBorder="1"/>
    <xf numFmtId="0" fontId="0" fillId="0" borderId="32" xfId="0" applyBorder="1" applyAlignment="1">
      <alignment horizontal="left"/>
    </xf>
    <xf numFmtId="0" fontId="0" fillId="0" borderId="0" xfId="0" applyFont="1"/>
    <xf numFmtId="0" fontId="0" fillId="0" borderId="42" xfId="0" applyBorder="1"/>
    <xf numFmtId="0" fontId="0" fillId="10" borderId="3" xfId="0" applyFill="1" applyBorder="1"/>
    <xf numFmtId="0" fontId="0" fillId="10" borderId="35" xfId="0" applyFill="1" applyBorder="1"/>
    <xf numFmtId="0" fontId="0" fillId="0" borderId="0" xfId="0" applyBorder="1" applyAlignment="1">
      <alignment horizontal="left"/>
    </xf>
    <xf numFmtId="14"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14" fillId="4" borderId="9" xfId="36" applyFont="1" applyFill="1" applyBorder="1" applyAlignment="1">
      <alignment horizontal="center" vertical="center" wrapText="1"/>
    </xf>
    <xf numFmtId="0" fontId="14" fillId="4" borderId="0" xfId="36" applyFont="1" applyFill="1" applyBorder="1" applyAlignment="1">
      <alignment horizontal="center" vertical="center" wrapText="1"/>
    </xf>
    <xf numFmtId="0" fontId="14" fillId="4" borderId="9" xfId="36" applyFont="1" applyFill="1" applyBorder="1" applyAlignment="1">
      <alignment vertical="center" wrapText="1"/>
    </xf>
    <xf numFmtId="0" fontId="14" fillId="4" borderId="0" xfId="36" applyFont="1" applyFill="1" applyBorder="1" applyAlignment="1">
      <alignment vertical="center" wrapText="1"/>
    </xf>
    <xf numFmtId="0" fontId="14" fillId="4" borderId="0" xfId="36" applyFont="1" applyFill="1" applyBorder="1" applyAlignment="1">
      <alignment horizontal="left" vertical="top" wrapText="1"/>
    </xf>
    <xf numFmtId="0" fontId="15" fillId="4" borderId="0" xfId="34" applyFont="1" applyFill="1" applyBorder="1" applyAlignment="1">
      <alignment horizontal="left" vertical="top" wrapText="1"/>
    </xf>
    <xf numFmtId="0" fontId="16" fillId="0" borderId="0" xfId="34" applyFont="1" applyFill="1" applyBorder="1" applyAlignment="1">
      <alignment horizontal="center" vertical="center" wrapText="1"/>
    </xf>
    <xf numFmtId="191" fontId="18" fillId="4" borderId="0" xfId="34" applyNumberFormat="1" applyFont="1" applyFill="1" applyBorder="1" applyAlignment="1">
      <alignment horizontal="center" vertical="center" wrapText="1"/>
    </xf>
    <xf numFmtId="0" fontId="17" fillId="4" borderId="0" xfId="34" applyFont="1" applyFill="1" applyBorder="1" applyAlignment="1">
      <alignment horizontal="center" vertical="center" wrapText="1"/>
    </xf>
    <xf numFmtId="0" fontId="16" fillId="4" borderId="0" xfId="34" applyFont="1" applyFill="1" applyBorder="1" applyAlignment="1">
      <alignment horizontal="center" vertical="center" wrapText="1"/>
    </xf>
    <xf numFmtId="0" fontId="18" fillId="4" borderId="0" xfId="34" applyFont="1" applyFill="1" applyBorder="1" applyAlignment="1">
      <alignment horizontal="center" vertical="center" wrapText="1"/>
    </xf>
    <xf numFmtId="0" fontId="31" fillId="7" borderId="11" xfId="0" applyFont="1" applyFill="1" applyBorder="1" applyAlignment="1">
      <alignment vertical="top" wrapText="1"/>
    </xf>
    <xf numFmtId="0" fontId="31" fillId="7" borderId="10" xfId="0" applyFont="1" applyFill="1" applyBorder="1" applyAlignment="1">
      <alignment vertical="top" wrapText="1"/>
    </xf>
    <xf numFmtId="0" fontId="31" fillId="7" borderId="19" xfId="0" applyFont="1" applyFill="1" applyBorder="1" applyAlignment="1">
      <alignment vertical="top" wrapText="1"/>
    </xf>
    <xf numFmtId="0" fontId="31" fillId="7" borderId="20" xfId="0" applyFont="1" applyFill="1" applyBorder="1" applyAlignment="1">
      <alignment vertical="top" wrapText="1"/>
    </xf>
    <xf numFmtId="0" fontId="31" fillId="7" borderId="17" xfId="0" applyFont="1" applyFill="1" applyBorder="1" applyAlignment="1">
      <alignment vertical="top" wrapText="1"/>
    </xf>
    <xf numFmtId="0" fontId="31" fillId="7" borderId="21" xfId="0" applyFont="1" applyFill="1" applyBorder="1" applyAlignment="1">
      <alignment vertical="top" wrapText="1"/>
    </xf>
    <xf numFmtId="0" fontId="0" fillId="0" borderId="11" xfId="0" applyBorder="1" applyAlignment="1">
      <alignment vertical="top" wrapText="1"/>
    </xf>
    <xf numFmtId="0" fontId="0" fillId="0" borderId="24" xfId="0" applyBorder="1" applyAlignment="1">
      <alignment vertical="top" wrapText="1"/>
    </xf>
    <xf numFmtId="0" fontId="0" fillId="0" borderId="20" xfId="0" applyBorder="1" applyAlignment="1">
      <alignment vertical="top" wrapText="1"/>
    </xf>
    <xf numFmtId="0" fontId="0" fillId="0" borderId="34" xfId="0" applyBorder="1" applyAlignment="1">
      <alignment horizontal="left"/>
    </xf>
    <xf numFmtId="0" fontId="0" fillId="0" borderId="3" xfId="0" applyBorder="1" applyAlignment="1">
      <alignment horizontal="left"/>
    </xf>
    <xf numFmtId="0" fontId="0" fillId="0" borderId="35" xfId="0" applyBorder="1" applyAlignment="1">
      <alignment horizontal="left"/>
    </xf>
    <xf numFmtId="0" fontId="0" fillId="0" borderId="31" xfId="0" applyBorder="1" applyAlignment="1">
      <alignment horizontal="center"/>
    </xf>
    <xf numFmtId="0" fontId="0" fillId="0" borderId="7"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8" borderId="4" xfId="0" applyFill="1" applyBorder="1" applyAlignment="1">
      <alignment horizontal="center"/>
    </xf>
    <xf numFmtId="0" fontId="0" fillId="9" borderId="4" xfId="0" applyFill="1" applyBorder="1" applyAlignment="1">
      <alignment horizontal="center" vertical="center" textRotation="255"/>
    </xf>
    <xf numFmtId="0" fontId="33" fillId="0" borderId="34" xfId="0" applyFont="1" applyBorder="1" applyAlignment="1">
      <alignment horizontal="left"/>
    </xf>
    <xf numFmtId="0" fontId="33" fillId="0" borderId="35" xfId="0" applyFont="1" applyBorder="1" applyAlignment="1">
      <alignment horizontal="left"/>
    </xf>
    <xf numFmtId="0" fontId="33" fillId="0" borderId="3" xfId="0" applyFont="1" applyBorder="1" applyAlignment="1">
      <alignment horizontal="left"/>
    </xf>
    <xf numFmtId="0" fontId="1" fillId="0" borderId="31"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1" fillId="0" borderId="32" xfId="0" applyFont="1" applyBorder="1" applyAlignment="1">
      <alignment horizontal="center" wrapText="1"/>
    </xf>
    <xf numFmtId="0" fontId="1" fillId="0" borderId="42" xfId="0" applyFont="1" applyBorder="1" applyAlignment="1">
      <alignment horizontal="center" wrapText="1"/>
    </xf>
    <xf numFmtId="0" fontId="1" fillId="0" borderId="33" xfId="0" applyFont="1" applyBorder="1" applyAlignment="1">
      <alignment horizontal="center" wrapText="1"/>
    </xf>
    <xf numFmtId="0" fontId="1" fillId="0" borderId="0" xfId="0" applyFont="1" applyAlignment="1">
      <alignment horizontal="center"/>
    </xf>
    <xf numFmtId="0" fontId="1" fillId="0" borderId="0" xfId="0" applyFont="1" applyAlignment="1">
      <alignment horizontal="center" vertical="center"/>
    </xf>
    <xf numFmtId="0" fontId="15" fillId="0" borderId="4" xfId="36" applyFont="1" applyBorder="1" applyAlignment="1">
      <alignment vertical="center" wrapText="1"/>
    </xf>
    <xf numFmtId="0" fontId="0" fillId="0" borderId="0" xfId="0" applyFont="1" applyBorder="1" applyAlignment="1">
      <alignment horizontal="center" vertical="top" wrapText="1"/>
    </xf>
  </cellXfs>
  <cellStyles count="44">
    <cellStyle name="Border" xfId="1" xr:uid="{00000000-0005-0000-0000-000000000000}"/>
    <cellStyle name="Calc Currency (0)" xfId="2" xr:uid="{00000000-0005-0000-0000-000001000000}"/>
    <cellStyle name="Comma [0]" xfId="3" xr:uid="{00000000-0005-0000-0000-000002000000}"/>
    <cellStyle name="comma zerodec" xfId="4" xr:uid="{00000000-0005-0000-0000-000003000000}"/>
    <cellStyle name="Currency [0]" xfId="5" xr:uid="{00000000-0005-0000-0000-000004000000}"/>
    <cellStyle name="Currency_laroux" xfId="6" xr:uid="{00000000-0005-0000-0000-000005000000}"/>
    <cellStyle name="Currency1" xfId="7" xr:uid="{00000000-0005-0000-0000-000006000000}"/>
    <cellStyle name="Dollar (zero dec)" xfId="8" xr:uid="{00000000-0005-0000-0000-000007000000}"/>
    <cellStyle name="entry" xfId="9" xr:uid="{00000000-0005-0000-0000-000008000000}"/>
    <cellStyle name="Grey" xfId="10" xr:uid="{00000000-0005-0000-0000-000009000000}"/>
    <cellStyle name="Header1" xfId="11" xr:uid="{00000000-0005-0000-0000-00000A000000}"/>
    <cellStyle name="Header2" xfId="12" xr:uid="{00000000-0005-0000-0000-00000B000000}"/>
    <cellStyle name="Input [yellow]" xfId="13" xr:uid="{00000000-0005-0000-0000-00000C000000}"/>
    <cellStyle name="Normal - Style1" xfId="14" xr:uid="{00000000-0005-0000-0000-00000D000000}"/>
    <cellStyle name="Normal_#18-Internet" xfId="15" xr:uid="{00000000-0005-0000-0000-00000E000000}"/>
    <cellStyle name="Percent [2]" xfId="16" xr:uid="{00000000-0005-0000-0000-00000F000000}"/>
    <cellStyle name="price" xfId="17" xr:uid="{00000000-0005-0000-0000-000010000000}"/>
    <cellStyle name="PSChar" xfId="18" xr:uid="{00000000-0005-0000-0000-000011000000}"/>
    <cellStyle name="PSHeading" xfId="19" xr:uid="{00000000-0005-0000-0000-000012000000}"/>
    <cellStyle name="revised" xfId="20" xr:uid="{00000000-0005-0000-0000-000013000000}"/>
    <cellStyle name="section" xfId="21" xr:uid="{00000000-0005-0000-0000-000014000000}"/>
    <cellStyle name="title" xfId="22" xr:uid="{00000000-0005-0000-0000-000015000000}"/>
    <cellStyle name="価格桁区切り" xfId="23" xr:uid="{00000000-0005-0000-0000-000017000000}"/>
    <cellStyle name="型番" xfId="24" xr:uid="{00000000-0005-0000-0000-000018000000}"/>
    <cellStyle name="数値" xfId="25" xr:uid="{00000000-0005-0000-0000-000019000000}"/>
    <cellStyle name="数値（桁区切り）" xfId="26" xr:uid="{00000000-0005-0000-0000-00001A000000}"/>
    <cellStyle name="数値_ＣＣ見積３S4100(NX)_rev3010704" xfId="27" xr:uid="{00000000-0005-0000-0000-00001B000000}"/>
    <cellStyle name="製品通知&quot;-&quot;" xfId="28" xr:uid="{00000000-0005-0000-0000-00001C000000}"/>
    <cellStyle name="製品通知価格" xfId="29" xr:uid="{00000000-0005-0000-0000-00001D000000}"/>
    <cellStyle name="製品通知日付" xfId="30" xr:uid="{00000000-0005-0000-0000-00001E000000}"/>
    <cellStyle name="製品通知文字列" xfId="31" xr:uid="{00000000-0005-0000-0000-00001F000000}"/>
    <cellStyle name="日付" xfId="32" xr:uid="{00000000-0005-0000-0000-000020000000}"/>
    <cellStyle name="年月日" xfId="33" xr:uid="{00000000-0005-0000-0000-000021000000}"/>
    <cellStyle name="標準" xfId="0" builtinId="0"/>
    <cellStyle name="標準 2" xfId="34" xr:uid="{00000000-0005-0000-0000-000023000000}"/>
    <cellStyle name="標準 2 2" xfId="43" xr:uid="{00000000-0005-0000-0000-000024000000}"/>
    <cellStyle name="標準 2 2 2" xfId="41" xr:uid="{00000000-0005-0000-0000-000025000000}"/>
    <cellStyle name="標準 3" xfId="42" xr:uid="{00000000-0005-0000-0000-000026000000}"/>
    <cellStyle name="標準 3 2" xfId="40" xr:uid="{00000000-0005-0000-0000-000027000000}"/>
    <cellStyle name="標準 4" xfId="35" xr:uid="{00000000-0005-0000-0000-000028000000}"/>
    <cellStyle name="標準_LoginTime_試験仕様書" xfId="36" xr:uid="{00000000-0005-0000-0000-000029000000}"/>
    <cellStyle name="文字列" xfId="37" xr:uid="{00000000-0005-0000-0000-00002A000000}"/>
    <cellStyle name="未定義" xfId="38" xr:uid="{00000000-0005-0000-0000-00002B000000}"/>
    <cellStyle name="網掛け" xfId="39" xr:uid="{00000000-0005-0000-0000-00002C000000}"/>
  </cellStyles>
  <dxfs count="6">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indexed="23"/>
        </patternFill>
      </fill>
    </dxf>
  </dxfs>
  <tableStyles count="0" defaultTableStyle="TableStyleMedium9" defaultPivotStyle="PivotStyleLight16"/>
  <colors>
    <mruColors>
      <color rgb="FFCC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19050</xdr:rowOff>
    </xdr:from>
    <xdr:to>
      <xdr:col>8</xdr:col>
      <xdr:colOff>438150</xdr:colOff>
      <xdr:row>0</xdr:row>
      <xdr:rowOff>400050</xdr:rowOff>
    </xdr:to>
    <xdr:sp macro="" textlink="">
      <xdr:nvSpPr>
        <xdr:cNvPr id="2" name="テキスト ボックス 1">
          <a:extLst>
            <a:ext uri="{FF2B5EF4-FFF2-40B4-BE49-F238E27FC236}">
              <a16:creationId xmlns:a16="http://schemas.microsoft.com/office/drawing/2014/main" id="{83473954-684D-4AE0-9696-DBD3D9D499EF}"/>
            </a:ext>
          </a:extLst>
        </xdr:cNvPr>
        <xdr:cNvSpPr txBox="1"/>
      </xdr:nvSpPr>
      <xdr:spPr>
        <a:xfrm>
          <a:off x="8010525" y="19050"/>
          <a:ext cx="695325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a:t>
          </a:r>
          <a:r>
            <a:rPr kumimoji="1" lang="ja-JP" altLang="en-US" sz="800"/>
            <a:t>全体共通の手順</a:t>
          </a:r>
          <a:r>
            <a:rPr kumimoji="1" lang="en-US" altLang="ja-JP" sz="800"/>
            <a:t>】</a:t>
          </a:r>
        </a:p>
        <a:p>
          <a:r>
            <a:rPr kumimoji="1" lang="ja-JP" altLang="en-US" sz="800"/>
            <a:t>・本試験では、試験対象の</a:t>
          </a:r>
          <a:r>
            <a:rPr kumimoji="1" lang="en-US" altLang="ja-JP" sz="800"/>
            <a:t>API</a:t>
          </a:r>
          <a:r>
            <a:rPr kumimoji="1" lang="ja-JP" altLang="en-US" sz="800"/>
            <a:t>を呼び出す試験用スクリプトを作成し、実行することで試験を行うものとする。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41</xdr:row>
      <xdr:rowOff>47625</xdr:rowOff>
    </xdr:from>
    <xdr:to>
      <xdr:col>10</xdr:col>
      <xdr:colOff>0</xdr:colOff>
      <xdr:row>50</xdr:row>
      <xdr:rowOff>169808</xdr:rowOff>
    </xdr:to>
    <xdr:cxnSp macro="">
      <xdr:nvCxnSpPr>
        <xdr:cNvPr id="2" name="直線コネクタ 1">
          <a:extLst>
            <a:ext uri="{FF2B5EF4-FFF2-40B4-BE49-F238E27FC236}">
              <a16:creationId xmlns:a16="http://schemas.microsoft.com/office/drawing/2014/main" id="{CF14D8C8-52A1-41B5-A2FE-73814DF59483}"/>
            </a:ext>
          </a:extLst>
        </xdr:cNvPr>
        <xdr:cNvCxnSpPr/>
      </xdr:nvCxnSpPr>
      <xdr:spPr bwMode="auto">
        <a:xfrm flipV="1">
          <a:off x="800100" y="2447925"/>
          <a:ext cx="1200150" cy="1665233"/>
        </a:xfrm>
        <a:prstGeom prst="line">
          <a:avLst/>
        </a:prstGeom>
        <a:solidFill>
          <a:srgbClr val="FFFFFF"/>
        </a:solidFill>
        <a:ln w="19050" cap="flat" cmpd="sng" algn="ctr">
          <a:solidFill>
            <a:srgbClr val="0070C0"/>
          </a:solidFill>
          <a:prstDash val="solid"/>
          <a:round/>
          <a:headEnd type="none" w="med" len="med"/>
          <a:tailEnd type="none" w="med" len="med"/>
        </a:ln>
        <a:effectLst/>
      </xdr:spPr>
    </xdr:cxnSp>
    <xdr:clientData/>
  </xdr:twoCellAnchor>
  <xdr:twoCellAnchor>
    <xdr:from>
      <xdr:col>3</xdr:col>
      <xdr:colOff>193456</xdr:colOff>
      <xdr:row>58</xdr:row>
      <xdr:rowOff>47625</xdr:rowOff>
    </xdr:from>
    <xdr:to>
      <xdr:col>10</xdr:col>
      <xdr:colOff>0</xdr:colOff>
      <xdr:row>74</xdr:row>
      <xdr:rowOff>18064</xdr:rowOff>
    </xdr:to>
    <xdr:cxnSp macro="">
      <xdr:nvCxnSpPr>
        <xdr:cNvPr id="3" name="直線コネクタ 2">
          <a:extLst>
            <a:ext uri="{FF2B5EF4-FFF2-40B4-BE49-F238E27FC236}">
              <a16:creationId xmlns:a16="http://schemas.microsoft.com/office/drawing/2014/main" id="{F7346899-3FCA-4D64-86F5-763EB8EC95CD}"/>
            </a:ext>
          </a:extLst>
        </xdr:cNvPr>
        <xdr:cNvCxnSpPr/>
      </xdr:nvCxnSpPr>
      <xdr:spPr bwMode="auto">
        <a:xfrm flipV="1">
          <a:off x="793531" y="5362575"/>
          <a:ext cx="1206719" cy="2713639"/>
        </a:xfrm>
        <a:prstGeom prst="line">
          <a:avLst/>
        </a:prstGeom>
        <a:solidFill>
          <a:srgbClr val="FFFFFF"/>
        </a:solidFill>
        <a:ln w="19050" cap="flat" cmpd="sng" algn="ctr">
          <a:solidFill>
            <a:srgbClr val="0070C0"/>
          </a:solidFill>
          <a:prstDash val="solid"/>
          <a:round/>
          <a:headEnd type="none" w="med" len="med"/>
          <a:tailEnd type="none" w="med" len="med"/>
        </a:ln>
        <a:effectLst/>
      </xdr:spPr>
    </xdr:cxnSp>
    <xdr:clientData/>
  </xdr:twoCellAnchor>
  <xdr:twoCellAnchor>
    <xdr:from>
      <xdr:col>3</xdr:col>
      <xdr:colOff>190500</xdr:colOff>
      <xdr:row>81</xdr:row>
      <xdr:rowOff>19881</xdr:rowOff>
    </xdr:from>
    <xdr:to>
      <xdr:col>14</xdr:col>
      <xdr:colOff>9525</xdr:colOff>
      <xdr:row>97</xdr:row>
      <xdr:rowOff>19050</xdr:rowOff>
    </xdr:to>
    <xdr:cxnSp macro="">
      <xdr:nvCxnSpPr>
        <xdr:cNvPr id="4" name="直線コネクタ 3">
          <a:extLst>
            <a:ext uri="{FF2B5EF4-FFF2-40B4-BE49-F238E27FC236}">
              <a16:creationId xmlns:a16="http://schemas.microsoft.com/office/drawing/2014/main" id="{892B1AC6-1F85-48E5-BAF5-901E36A8DC37}"/>
            </a:ext>
          </a:extLst>
        </xdr:cNvPr>
        <xdr:cNvCxnSpPr/>
      </xdr:nvCxnSpPr>
      <xdr:spPr bwMode="auto">
        <a:xfrm flipV="1">
          <a:off x="790575" y="9278181"/>
          <a:ext cx="2019300" cy="2742369"/>
        </a:xfrm>
        <a:prstGeom prst="line">
          <a:avLst/>
        </a:prstGeom>
        <a:solidFill>
          <a:srgbClr val="FFFFFF"/>
        </a:solidFill>
        <a:ln w="19050" cap="flat" cmpd="sng" algn="ctr">
          <a:solidFill>
            <a:srgbClr val="0070C0"/>
          </a:solidFill>
          <a:prstDash val="solid"/>
          <a:round/>
          <a:headEnd type="none" w="med" len="med"/>
          <a:tailEnd type="none" w="med" len="med"/>
        </a:ln>
        <a:effec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29"/>
  <sheetViews>
    <sheetView showGridLines="0" view="pageBreakPreview" zoomScaleNormal="100" zoomScaleSheetLayoutView="100" workbookViewId="0">
      <selection sqref="A1:B2"/>
    </sheetView>
  </sheetViews>
  <sheetFormatPr defaultColWidth="9" defaultRowHeight="10.5" x14ac:dyDescent="0.15"/>
  <cols>
    <col min="1" max="1" width="5.625" style="7" customWidth="1"/>
    <col min="2" max="2" width="8.875" style="7" customWidth="1"/>
    <col min="3" max="8" width="5.625" style="7" customWidth="1"/>
    <col min="9" max="11" width="5.625" style="8" customWidth="1"/>
    <col min="12" max="12" width="5.625" style="7" customWidth="1"/>
    <col min="13" max="14" width="5.625" style="8" customWidth="1"/>
    <col min="15" max="65" width="5.625" style="7" customWidth="1"/>
    <col min="66" max="16384" width="9" style="7"/>
  </cols>
  <sheetData>
    <row r="1" spans="1:28" ht="15" customHeight="1" x14ac:dyDescent="0.15">
      <c r="A1" s="126"/>
      <c r="B1" s="126"/>
      <c r="C1" s="128"/>
      <c r="D1" s="4"/>
      <c r="E1" s="5"/>
      <c r="F1" s="3"/>
      <c r="G1" s="6"/>
      <c r="H1" s="5"/>
      <c r="I1" s="4"/>
      <c r="J1" s="4"/>
      <c r="K1" s="4"/>
      <c r="L1" s="5"/>
      <c r="M1" s="4"/>
      <c r="N1" s="4"/>
      <c r="O1" s="5"/>
      <c r="P1" s="5"/>
      <c r="Q1" s="5"/>
      <c r="R1" s="5"/>
      <c r="S1" s="5"/>
      <c r="T1" s="5"/>
      <c r="U1" s="5"/>
      <c r="V1" s="5"/>
      <c r="W1" s="5"/>
      <c r="X1" s="5"/>
      <c r="Y1" s="5"/>
      <c r="Z1" s="5"/>
      <c r="AB1" s="18" t="s">
        <v>42</v>
      </c>
    </row>
    <row r="2" spans="1:28" ht="15" customHeight="1" x14ac:dyDescent="0.15">
      <c r="A2" s="127"/>
      <c r="B2" s="127"/>
      <c r="C2" s="129"/>
      <c r="D2" s="2"/>
      <c r="F2" s="8"/>
      <c r="G2" s="9"/>
      <c r="I2" s="2"/>
      <c r="J2" s="2"/>
      <c r="K2" s="2"/>
      <c r="M2" s="2"/>
      <c r="N2" s="2"/>
    </row>
    <row r="3" spans="1:28" ht="15" customHeight="1" x14ac:dyDescent="0.15">
      <c r="I3" s="2"/>
      <c r="J3" s="2"/>
      <c r="K3" s="2"/>
      <c r="M3" s="2"/>
      <c r="N3" s="2"/>
    </row>
    <row r="4" spans="1:28" s="2" customFormat="1" ht="15" customHeight="1" x14ac:dyDescent="0.15">
      <c r="D4" s="7"/>
      <c r="E4" s="7"/>
      <c r="F4" s="7"/>
      <c r="G4" s="7"/>
      <c r="I4" s="10"/>
      <c r="M4" s="11"/>
    </row>
    <row r="5" spans="1:28" ht="15" customHeight="1" x14ac:dyDescent="0.15">
      <c r="A5" s="12"/>
      <c r="B5" s="12"/>
      <c r="C5" s="13"/>
      <c r="E5" s="14"/>
      <c r="F5" s="14"/>
      <c r="G5" s="14"/>
      <c r="H5" s="13"/>
      <c r="I5" s="15"/>
      <c r="M5" s="15"/>
    </row>
    <row r="6" spans="1:28" ht="15" customHeight="1" x14ac:dyDescent="0.15">
      <c r="A6" s="12"/>
      <c r="B6" s="12"/>
      <c r="C6" s="13"/>
      <c r="D6" s="130"/>
      <c r="E6" s="131"/>
      <c r="F6" s="131"/>
      <c r="G6" s="131"/>
      <c r="H6" s="13"/>
      <c r="I6" s="15"/>
      <c r="M6" s="15"/>
    </row>
    <row r="7" spans="1:28" ht="15" customHeight="1" x14ac:dyDescent="0.15">
      <c r="A7" s="12"/>
      <c r="B7" s="132" t="str">
        <f>"空間ID開発(GO言語版)
"&amp;AB1</f>
        <v>空間ID開発(GO言語版)
線分</v>
      </c>
      <c r="C7" s="132"/>
      <c r="D7" s="132"/>
      <c r="E7" s="132"/>
      <c r="F7" s="132"/>
      <c r="G7" s="132"/>
      <c r="H7" s="132"/>
      <c r="I7" s="132"/>
      <c r="J7" s="132"/>
      <c r="K7" s="132"/>
      <c r="L7" s="132"/>
      <c r="M7" s="132"/>
      <c r="N7" s="132"/>
      <c r="O7" s="132"/>
      <c r="P7" s="132"/>
      <c r="Q7" s="132"/>
      <c r="R7" s="132"/>
      <c r="S7" s="132"/>
      <c r="T7" s="132"/>
      <c r="U7" s="132"/>
      <c r="V7" s="132"/>
      <c r="W7" s="132"/>
      <c r="X7" s="132"/>
      <c r="Y7" s="132"/>
    </row>
    <row r="8" spans="1:28" ht="15" customHeight="1" x14ac:dyDescent="0.15">
      <c r="A8" s="12"/>
      <c r="B8" s="132"/>
      <c r="C8" s="132"/>
      <c r="D8" s="132"/>
      <c r="E8" s="132"/>
      <c r="F8" s="132"/>
      <c r="G8" s="132"/>
      <c r="H8" s="132"/>
      <c r="I8" s="132"/>
      <c r="J8" s="132"/>
      <c r="K8" s="132"/>
      <c r="L8" s="132"/>
      <c r="M8" s="132"/>
      <c r="N8" s="132"/>
      <c r="O8" s="132"/>
      <c r="P8" s="132"/>
      <c r="Q8" s="132"/>
      <c r="R8" s="132"/>
      <c r="S8" s="132"/>
      <c r="T8" s="132"/>
      <c r="U8" s="132"/>
      <c r="V8" s="132"/>
      <c r="W8" s="132"/>
      <c r="X8" s="132"/>
      <c r="Y8" s="132"/>
    </row>
    <row r="9" spans="1:28" ht="15" customHeight="1" x14ac:dyDescent="0.15">
      <c r="A9" s="12"/>
      <c r="B9" s="132"/>
      <c r="C9" s="132"/>
      <c r="D9" s="132"/>
      <c r="E9" s="132"/>
      <c r="F9" s="132"/>
      <c r="G9" s="132"/>
      <c r="H9" s="132"/>
      <c r="I9" s="132"/>
      <c r="J9" s="132"/>
      <c r="K9" s="132"/>
      <c r="L9" s="132"/>
      <c r="M9" s="132"/>
      <c r="N9" s="132"/>
      <c r="O9" s="132"/>
      <c r="P9" s="132"/>
      <c r="Q9" s="132"/>
      <c r="R9" s="132"/>
      <c r="S9" s="132"/>
      <c r="T9" s="132"/>
      <c r="U9" s="132"/>
      <c r="V9" s="132"/>
      <c r="W9" s="132"/>
      <c r="X9" s="132"/>
      <c r="Y9" s="132"/>
    </row>
    <row r="10" spans="1:28" ht="15" customHeight="1" x14ac:dyDescent="0.15">
      <c r="A10" s="12"/>
      <c r="B10" s="132"/>
      <c r="C10" s="132"/>
      <c r="D10" s="132"/>
      <c r="E10" s="132"/>
      <c r="F10" s="132"/>
      <c r="G10" s="132"/>
      <c r="H10" s="132"/>
      <c r="I10" s="132"/>
      <c r="J10" s="132"/>
      <c r="K10" s="132"/>
      <c r="L10" s="132"/>
      <c r="M10" s="132"/>
      <c r="N10" s="132"/>
      <c r="O10" s="132"/>
      <c r="P10" s="132"/>
      <c r="Q10" s="132"/>
      <c r="R10" s="132"/>
      <c r="S10" s="132"/>
      <c r="T10" s="132"/>
      <c r="U10" s="132"/>
      <c r="V10" s="132"/>
      <c r="W10" s="132"/>
      <c r="X10" s="132"/>
      <c r="Y10" s="132"/>
    </row>
    <row r="11" spans="1:28" ht="15" customHeight="1" x14ac:dyDescent="0.1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8" ht="15" customHeight="1" x14ac:dyDescent="0.15">
      <c r="A12" s="12"/>
      <c r="B12" s="135"/>
      <c r="C12" s="135"/>
      <c r="D12" s="135"/>
      <c r="E12" s="135"/>
      <c r="F12" s="135"/>
      <c r="G12" s="135"/>
      <c r="H12" s="135"/>
      <c r="I12" s="135"/>
      <c r="J12" s="135"/>
      <c r="K12" s="135"/>
      <c r="L12" s="135"/>
      <c r="M12" s="135"/>
      <c r="N12" s="135"/>
      <c r="O12" s="135"/>
      <c r="P12" s="135"/>
      <c r="Q12" s="135"/>
      <c r="R12" s="135"/>
      <c r="S12" s="135"/>
      <c r="T12" s="135"/>
      <c r="U12" s="135"/>
      <c r="V12" s="135"/>
      <c r="W12" s="135"/>
      <c r="X12" s="135"/>
      <c r="Y12" s="135"/>
    </row>
    <row r="13" spans="1:28" ht="15" customHeight="1" x14ac:dyDescent="0.15">
      <c r="A13" s="12"/>
      <c r="B13" s="135"/>
      <c r="C13" s="135"/>
      <c r="D13" s="135"/>
      <c r="E13" s="135"/>
      <c r="F13" s="135"/>
      <c r="G13" s="135"/>
      <c r="H13" s="135"/>
      <c r="I13" s="135"/>
      <c r="J13" s="135"/>
      <c r="K13" s="135"/>
      <c r="L13" s="135"/>
      <c r="M13" s="135"/>
      <c r="N13" s="135"/>
      <c r="O13" s="135"/>
      <c r="P13" s="135"/>
      <c r="Q13" s="135"/>
      <c r="R13" s="135"/>
      <c r="S13" s="135"/>
      <c r="T13" s="135"/>
      <c r="U13" s="135"/>
      <c r="V13" s="135"/>
      <c r="W13" s="135"/>
      <c r="X13" s="135"/>
      <c r="Y13" s="135"/>
    </row>
    <row r="14" spans="1:28" ht="15" customHeight="1" x14ac:dyDescent="0.15">
      <c r="A14" s="12"/>
      <c r="B14" s="135"/>
      <c r="C14" s="135"/>
      <c r="D14" s="135"/>
      <c r="E14" s="135"/>
      <c r="F14" s="135"/>
      <c r="G14" s="135"/>
      <c r="H14" s="135"/>
      <c r="I14" s="135"/>
      <c r="J14" s="135"/>
      <c r="K14" s="135"/>
      <c r="L14" s="135"/>
      <c r="M14" s="135"/>
      <c r="N14" s="135"/>
      <c r="O14" s="135"/>
      <c r="P14" s="135"/>
      <c r="Q14" s="135"/>
      <c r="R14" s="135"/>
      <c r="S14" s="135"/>
      <c r="T14" s="135"/>
      <c r="U14" s="135"/>
      <c r="V14" s="135"/>
      <c r="W14" s="135"/>
      <c r="X14" s="135"/>
      <c r="Y14" s="135"/>
    </row>
    <row r="15" spans="1:28" ht="15" customHeight="1" x14ac:dyDescent="0.15">
      <c r="A15" s="12"/>
      <c r="B15" s="135"/>
      <c r="C15" s="135"/>
      <c r="D15" s="135"/>
      <c r="E15" s="135"/>
      <c r="F15" s="135"/>
      <c r="G15" s="135"/>
      <c r="H15" s="135"/>
      <c r="I15" s="135"/>
      <c r="J15" s="135"/>
      <c r="K15" s="135"/>
      <c r="L15" s="135"/>
      <c r="M15" s="135"/>
      <c r="N15" s="135"/>
      <c r="O15" s="135"/>
      <c r="P15" s="135"/>
      <c r="Q15" s="135"/>
      <c r="R15" s="135"/>
      <c r="S15" s="135"/>
      <c r="T15" s="135"/>
      <c r="U15" s="135"/>
      <c r="V15" s="135"/>
      <c r="W15" s="135"/>
      <c r="X15" s="135"/>
      <c r="Y15" s="135"/>
    </row>
    <row r="16" spans="1:28" ht="15" customHeight="1" x14ac:dyDescent="0.1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5" customHeight="1" x14ac:dyDescent="0.15">
      <c r="A17" s="12"/>
      <c r="B17" s="134" t="s">
        <v>41</v>
      </c>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2"/>
    </row>
    <row r="18" spans="1:26" ht="15" customHeight="1" x14ac:dyDescent="0.15">
      <c r="A18" s="12"/>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2"/>
    </row>
    <row r="19" spans="1:26" ht="15" customHeight="1" x14ac:dyDescent="0.15">
      <c r="A19" s="12"/>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2"/>
    </row>
    <row r="20" spans="1:26" ht="15" customHeight="1" x14ac:dyDescent="0.15">
      <c r="A20" s="12"/>
      <c r="B20" s="135" t="str">
        <f>CONCATENATE(TEXT(MAX(変更履歴!C3:C7),"0.00"), "版")</f>
        <v>1.01版</v>
      </c>
      <c r="C20" s="135"/>
      <c r="D20" s="135"/>
      <c r="E20" s="135"/>
      <c r="F20" s="135"/>
      <c r="G20" s="135"/>
      <c r="H20" s="135"/>
      <c r="I20" s="135"/>
      <c r="J20" s="135"/>
      <c r="K20" s="135"/>
      <c r="L20" s="135"/>
      <c r="M20" s="135"/>
      <c r="N20" s="135"/>
      <c r="O20" s="135"/>
      <c r="P20" s="135"/>
      <c r="Q20" s="135"/>
      <c r="R20" s="135"/>
      <c r="S20" s="135"/>
      <c r="T20" s="135"/>
      <c r="U20" s="135"/>
      <c r="V20" s="135"/>
      <c r="W20" s="135"/>
      <c r="X20" s="135"/>
      <c r="Y20" s="135"/>
    </row>
    <row r="21" spans="1:26" ht="15" customHeight="1" x14ac:dyDescent="0.15">
      <c r="A21" s="12"/>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2"/>
    </row>
    <row r="22" spans="1:26" ht="15" customHeight="1" x14ac:dyDescent="0.15">
      <c r="A22" s="12"/>
      <c r="B22" s="16"/>
      <c r="C22" s="16"/>
      <c r="D22" s="16"/>
      <c r="E22" s="16"/>
      <c r="F22" s="16"/>
      <c r="G22" s="16"/>
      <c r="H22" s="16"/>
      <c r="I22" s="16"/>
      <c r="J22" s="16"/>
      <c r="K22" s="16"/>
      <c r="L22" s="16"/>
      <c r="M22" s="16"/>
      <c r="N22" s="16"/>
      <c r="O22" s="16"/>
      <c r="P22" s="16"/>
      <c r="Q22" s="16"/>
      <c r="R22" s="16"/>
      <c r="S22" s="16"/>
      <c r="T22" s="16"/>
      <c r="U22" s="16"/>
      <c r="V22" s="16"/>
      <c r="W22" s="16"/>
      <c r="X22" s="16"/>
      <c r="Y22" s="16"/>
      <c r="Z22" s="12"/>
    </row>
    <row r="23" spans="1:26" ht="15" customHeight="1" x14ac:dyDescent="0.15">
      <c r="A23" s="12"/>
      <c r="B23" s="133">
        <v>44936</v>
      </c>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2"/>
    </row>
    <row r="24" spans="1:26" ht="15" customHeight="1" x14ac:dyDescent="0.15">
      <c r="A24" s="12"/>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2"/>
    </row>
    <row r="25" spans="1:26" ht="15" customHeight="1" x14ac:dyDescent="0.15">
      <c r="A25" s="12"/>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row>
    <row r="26" spans="1:26" ht="15" customHeight="1" x14ac:dyDescent="0.15">
      <c r="A26" s="12"/>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row>
    <row r="27" spans="1:26" ht="15" customHeight="1" x14ac:dyDescent="0.15">
      <c r="A27" s="12"/>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row>
    <row r="28" spans="1:26" ht="15" customHeight="1" x14ac:dyDescent="0.15">
      <c r="A28" s="12"/>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row>
    <row r="29" spans="1:26" ht="15" customHeight="1" x14ac:dyDescent="0.15">
      <c r="A29" s="12"/>
      <c r="B29" s="12"/>
      <c r="C29" s="17"/>
      <c r="D29" s="130"/>
      <c r="E29" s="131"/>
      <c r="F29" s="131"/>
      <c r="G29" s="131"/>
      <c r="H29" s="13"/>
      <c r="I29" s="15"/>
      <c r="M29" s="15"/>
    </row>
  </sheetData>
  <mergeCells count="10">
    <mergeCell ref="A1:B2"/>
    <mergeCell ref="C1:C2"/>
    <mergeCell ref="D6:G6"/>
    <mergeCell ref="B7:Y10"/>
    <mergeCell ref="D29:G29"/>
    <mergeCell ref="B23:Y24"/>
    <mergeCell ref="B17:Y19"/>
    <mergeCell ref="B12:Y15"/>
    <mergeCell ref="B20:Y21"/>
    <mergeCell ref="B25:Y28"/>
  </mergeCells>
  <phoneticPr fontId="3"/>
  <pageMargins left="0.78740157480314965" right="0.78740157480314965" top="0.98425196850393704" bottom="0.98425196850393704" header="0.51181102362204722" footer="0.51181102362204722"/>
  <pageSetup paperSize="9" scale="88" fitToHeight="0" orientation="landscape" copies="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25CD2-88A0-4C8C-B1E2-52AC5206311C}">
  <dimension ref="A2:F7"/>
  <sheetViews>
    <sheetView showGridLines="0" workbookViewId="0"/>
  </sheetViews>
  <sheetFormatPr defaultColWidth="2.625" defaultRowHeight="13.5" x14ac:dyDescent="0.15"/>
  <cols>
    <col min="2" max="2" width="17.25" bestFit="1" customWidth="1"/>
    <col min="3" max="3" width="6.5" bestFit="1" customWidth="1"/>
    <col min="4" max="4" width="13.625" customWidth="1"/>
    <col min="5" max="5" width="7.5" bestFit="1" customWidth="1"/>
    <col min="6" max="6" width="77.375" customWidth="1"/>
  </cols>
  <sheetData>
    <row r="2" spans="1:6" s="38" customFormat="1" ht="15" customHeight="1" x14ac:dyDescent="0.15">
      <c r="A2"/>
      <c r="B2" s="59" t="s">
        <v>0</v>
      </c>
      <c r="C2" s="60" t="s">
        <v>1</v>
      </c>
      <c r="D2" s="59" t="s">
        <v>25</v>
      </c>
      <c r="E2" s="59" t="s">
        <v>2</v>
      </c>
      <c r="F2" s="59" t="s">
        <v>3</v>
      </c>
    </row>
    <row r="3" spans="1:6" s="38" customFormat="1" ht="15" customHeight="1" x14ac:dyDescent="0.15">
      <c r="A3"/>
      <c r="B3" s="66">
        <v>44895</v>
      </c>
      <c r="C3" s="40">
        <v>1</v>
      </c>
      <c r="D3" s="41" t="s">
        <v>11</v>
      </c>
      <c r="E3" s="41" t="s">
        <v>34</v>
      </c>
      <c r="F3" s="41" t="s">
        <v>12</v>
      </c>
    </row>
    <row r="4" spans="1:6" s="38" customFormat="1" ht="27.75" customHeight="1" x14ac:dyDescent="0.15">
      <c r="A4"/>
      <c r="B4" s="66">
        <v>44936</v>
      </c>
      <c r="C4" s="40">
        <v>1.01</v>
      </c>
      <c r="D4" s="41" t="s">
        <v>589</v>
      </c>
      <c r="E4" s="41" t="s">
        <v>34</v>
      </c>
      <c r="F4" s="166" t="s">
        <v>590</v>
      </c>
    </row>
    <row r="5" spans="1:6" s="38" customFormat="1" ht="15" customHeight="1" x14ac:dyDescent="0.15">
      <c r="A5"/>
      <c r="B5" s="39"/>
      <c r="C5" s="40"/>
      <c r="D5" s="41"/>
      <c r="E5" s="41"/>
      <c r="F5" s="41"/>
    </row>
    <row r="6" spans="1:6" s="38" customFormat="1" ht="15" customHeight="1" x14ac:dyDescent="0.15">
      <c r="A6"/>
      <c r="B6" s="39"/>
      <c r="C6" s="40"/>
      <c r="D6" s="41"/>
      <c r="E6" s="41"/>
      <c r="F6" s="41"/>
    </row>
    <row r="7" spans="1:6" s="38" customFormat="1" ht="15" customHeight="1" x14ac:dyDescent="0.15">
      <c r="A7"/>
      <c r="B7" s="39"/>
      <c r="C7" s="40"/>
      <c r="D7" s="41"/>
      <c r="E7" s="41"/>
      <c r="F7" s="41"/>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heetViews>
  <sheetFormatPr defaultRowHeight="13.5" x14ac:dyDescent="0.15"/>
  <cols>
    <col min="1" max="1" width="2.625" customWidth="1"/>
    <col min="2" max="2" width="23.125" bestFit="1" customWidth="1"/>
    <col min="3" max="5" width="10.625" customWidth="1"/>
    <col min="6" max="6" width="15.625" customWidth="1"/>
    <col min="7" max="7" width="78.25" bestFit="1" customWidth="1"/>
  </cols>
  <sheetData>
    <row r="1" spans="1:5" ht="19.5" thickBot="1" x14ac:dyDescent="0.25">
      <c r="A1" s="36" t="s">
        <v>23</v>
      </c>
    </row>
    <row r="2" spans="1:5" x14ac:dyDescent="0.15">
      <c r="B2" s="56" t="s">
        <v>24</v>
      </c>
      <c r="C2" s="57" t="s">
        <v>19</v>
      </c>
      <c r="D2" s="57" t="s">
        <v>20</v>
      </c>
      <c r="E2" s="58" t="s">
        <v>21</v>
      </c>
    </row>
    <row r="3" spans="1:5" ht="14.25" thickBot="1" x14ac:dyDescent="0.2">
      <c r="B3" s="53" t="s">
        <v>40</v>
      </c>
      <c r="C3" s="50">
        <f ca="1">VLOOKUP(B3,$B$8:$D$11,3,FALSE)</f>
        <v>88</v>
      </c>
      <c r="D3" s="50" cm="1">
        <f t="array" aca="1" ref="D3" ca="1">COUNTIF(INDIRECT(B3&amp;"!$K$3:$K$1024"),"OK")-SUMPRODUCT((OFFSET(INDIRECT(B3&amp;"!$K$3:$K$1024"),,)="OK")*(OFFSET(INDIRECT(B3&amp;"!$M$3:$M$1024"),,)&lt;&gt;""))</f>
        <v>88</v>
      </c>
      <c r="E3" s="54">
        <f ca="1">C3-D3</f>
        <v>0</v>
      </c>
    </row>
    <row r="4" spans="1:5" ht="15" thickTop="1" thickBot="1" x14ac:dyDescent="0.2">
      <c r="B4" s="55" t="s">
        <v>22</v>
      </c>
      <c r="C4" s="48">
        <f ca="1">SUM(C3:C3)</f>
        <v>88</v>
      </c>
      <c r="D4" s="48">
        <f ca="1">SUM(D3:D3)</f>
        <v>88</v>
      </c>
      <c r="E4" s="49">
        <f ca="1">SUM(E3:E3)</f>
        <v>0</v>
      </c>
    </row>
    <row r="5" spans="1:5" ht="14.25" thickBot="1" x14ac:dyDescent="0.2"/>
    <row r="6" spans="1:5" x14ac:dyDescent="0.15">
      <c r="B6" s="137" t="s">
        <v>27</v>
      </c>
      <c r="C6" s="138"/>
      <c r="D6" s="139"/>
    </row>
    <row r="7" spans="1:5" ht="14.25" thickBot="1" x14ac:dyDescent="0.2">
      <c r="B7" s="140"/>
      <c r="C7" s="141"/>
      <c r="D7" s="142"/>
    </row>
    <row r="8" spans="1:5" ht="14.25" thickBot="1" x14ac:dyDescent="0.2">
      <c r="B8" s="143" t="s">
        <v>40</v>
      </c>
      <c r="C8" s="44" t="s">
        <v>28</v>
      </c>
      <c r="D8" s="45">
        <f ca="1">SUM(D9:D11)</f>
        <v>88</v>
      </c>
    </row>
    <row r="9" spans="1:5" ht="14.25" thickTop="1" x14ac:dyDescent="0.15">
      <c r="B9" s="144"/>
      <c r="C9" s="37" t="s">
        <v>29</v>
      </c>
      <c r="D9" s="46" cm="1">
        <f t="array" aca="1" ref="D9" ca="1">COUNTIF(INDIRECT(B8&amp;"!$E$3:$E$1024"),C9)-SUMPRODUCT((OFFSET(INDIRECT(B8&amp;"!$E$3:$E$1024"),,)=C9)*(OFFSET(INDIRECT(B8&amp;"!$M$3:$M$1024"),,)&lt;&gt;""))</f>
        <v>80</v>
      </c>
    </row>
    <row r="10" spans="1:5" x14ac:dyDescent="0.15">
      <c r="B10" s="144"/>
      <c r="C10" s="35" t="s">
        <v>30</v>
      </c>
      <c r="D10" s="47" cm="1">
        <f t="array" aca="1" ref="D10" ca="1">COUNTIF(INDIRECT(B8&amp;"!$E$3:$E$1024"),C10)-SUMPRODUCT((OFFSET(INDIRECT(B8&amp;"!$E$3:$E$1024"),,)=C10)*(OFFSET(INDIRECT(B8&amp;"!$M$3:$M$1024"),,)&lt;&gt;""))</f>
        <v>8</v>
      </c>
    </row>
    <row r="11" spans="1:5" ht="14.25" thickBot="1" x14ac:dyDescent="0.2">
      <c r="B11" s="145"/>
      <c r="C11" s="48" t="s">
        <v>31</v>
      </c>
      <c r="D11" s="49" cm="1">
        <f t="array" aca="1" ref="D11" ca="1">COUNTIF(INDIRECT(B8&amp;"!$E$3:$E$1024"),C11)-SUMPRODUCT((OFFSET(INDIRECT(B8&amp;"!$E$3:$E$1024"),,)=C11)*(OFFSET(INDIRECT(B8&amp;"!$M$3:$M$1024"),,)&lt;&gt;""))</f>
        <v>0</v>
      </c>
    </row>
  </sheetData>
  <mergeCells count="2">
    <mergeCell ref="B6:D7"/>
    <mergeCell ref="B8:B11"/>
  </mergeCells>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3"/>
  <sheetViews>
    <sheetView tabSelected="1" view="pageBreakPreview" zoomScale="115" zoomScaleNormal="100" zoomScaleSheetLayoutView="115" zoomScalePageLayoutView="85" workbookViewId="0">
      <pane ySplit="2" topLeftCell="A3" activePane="bottomLeft" state="frozen"/>
      <selection pane="bottomLeft" activeCell="A3" sqref="A3"/>
    </sheetView>
  </sheetViews>
  <sheetFormatPr defaultColWidth="6.5" defaultRowHeight="10.5" x14ac:dyDescent="0.15"/>
  <cols>
    <col min="1" max="1" width="18.375" style="19" bestFit="1" customWidth="1"/>
    <col min="2" max="2" width="19.75" style="19" customWidth="1"/>
    <col min="3" max="3" width="39.75" style="19" bestFit="1" customWidth="1"/>
    <col min="4" max="4" width="19.75" style="19" customWidth="1"/>
    <col min="5" max="5" width="7.5" style="19" bestFit="1" customWidth="1"/>
    <col min="6" max="6" width="7.375" style="19" hidden="1" customWidth="1"/>
    <col min="7" max="7" width="41.25" style="19" customWidth="1"/>
    <col min="8" max="8" width="44.25" style="19" customWidth="1"/>
    <col min="9" max="9" width="10.625" style="1" customWidth="1"/>
    <col min="10" max="11" width="10.625" style="21" customWidth="1"/>
    <col min="12" max="12" width="24.625" style="19" customWidth="1"/>
    <col min="13" max="13" width="25.375" style="19" customWidth="1"/>
    <col min="14" max="17" width="6.5" style="20"/>
    <col min="18" max="18" width="13.625" style="20" customWidth="1"/>
    <col min="19" max="16384" width="6.5" style="20"/>
  </cols>
  <sheetData>
    <row r="1" spans="1:20" s="24" customFormat="1" ht="33" customHeight="1" thickBot="1" x14ac:dyDescent="0.2">
      <c r="A1" s="22" t="str">
        <f ca="1">MID(CELL("filename",$A$1),FIND("]",CELL("filename",$A$1))+3,31)</f>
        <v>結合試験</v>
      </c>
      <c r="B1" s="23"/>
      <c r="C1" s="23"/>
      <c r="D1" s="23"/>
      <c r="E1" s="23"/>
      <c r="F1" s="23"/>
      <c r="G1" s="23"/>
      <c r="H1" s="23"/>
      <c r="I1" s="1"/>
      <c r="J1" s="21"/>
      <c r="K1" s="30" t="s">
        <v>33</v>
      </c>
      <c r="L1" s="23"/>
      <c r="M1" s="23"/>
      <c r="O1" s="25"/>
      <c r="P1" s="25"/>
      <c r="R1" s="31" t="s">
        <v>16</v>
      </c>
      <c r="S1" s="31">
        <f ca="1">VALUE(MID(CELL("filename",$A$1),FIND("]",CELL("filename",$A$1))+1,2))</f>
        <v>1</v>
      </c>
      <c r="T1" s="32"/>
    </row>
    <row r="2" spans="1:20" s="24" customFormat="1" ht="14.25" thickBot="1" x14ac:dyDescent="0.2">
      <c r="A2" s="61" t="s">
        <v>4</v>
      </c>
      <c r="B2" s="62" t="s">
        <v>5</v>
      </c>
      <c r="C2" s="62" t="s">
        <v>6</v>
      </c>
      <c r="D2" s="63" t="s">
        <v>7</v>
      </c>
      <c r="E2" s="63" t="s">
        <v>26</v>
      </c>
      <c r="F2" s="62" t="s">
        <v>32</v>
      </c>
      <c r="G2" s="62" t="s">
        <v>39</v>
      </c>
      <c r="H2" s="62" t="s">
        <v>38</v>
      </c>
      <c r="I2" s="64" t="s">
        <v>8</v>
      </c>
      <c r="J2" s="65" t="s">
        <v>9</v>
      </c>
      <c r="K2" s="62" t="s">
        <v>10</v>
      </c>
      <c r="L2" s="62" t="s">
        <v>17</v>
      </c>
      <c r="M2" s="62" t="s">
        <v>18</v>
      </c>
      <c r="O2" s="25"/>
      <c r="P2" s="25"/>
      <c r="R2" s="33" t="s">
        <v>13</v>
      </c>
      <c r="S2" s="33" t="s">
        <v>14</v>
      </c>
      <c r="T2" s="33" t="s">
        <v>15</v>
      </c>
    </row>
    <row r="3" spans="1:20" s="25" customFormat="1" ht="63" x14ac:dyDescent="0.15">
      <c r="A3" s="51" t="str">
        <f ca="1">IF(B3&lt;&gt;"",表紙!$AB$1&amp;"-"&amp;"結合-"&amp;TEXT($S$1,"00")&amp;"-"&amp;TEXT(R3,"00")&amp;"-"&amp;TEXT(S3,"00")&amp;"-"&amp;TEXT(T3,"０00"),"")</f>
        <v>線分-結合-01-01-01-001</v>
      </c>
      <c r="B3" s="29" t="s">
        <v>196</v>
      </c>
      <c r="C3" s="29" t="s">
        <v>164</v>
      </c>
      <c r="D3" s="29" t="s">
        <v>165</v>
      </c>
      <c r="E3" s="42" t="s">
        <v>166</v>
      </c>
      <c r="F3" s="42"/>
      <c r="G3" s="29" t="s">
        <v>175</v>
      </c>
      <c r="H3" s="29" t="s">
        <v>167</v>
      </c>
      <c r="I3" s="67">
        <v>44907</v>
      </c>
      <c r="J3" s="68" t="s">
        <v>551</v>
      </c>
      <c r="K3" s="69" t="s">
        <v>552</v>
      </c>
      <c r="L3" s="29"/>
      <c r="M3" s="29"/>
      <c r="R3" s="167">
        <f>IF(ROW()&lt;&gt;3,IF(B2&lt;&gt;B3,#REF!+1,#REF!),1)</f>
        <v>1</v>
      </c>
      <c r="S3" s="167">
        <f>IF(B2=B3,IF(C2&lt;&gt;C3,#REF!+1,#REF!),1)</f>
        <v>1</v>
      </c>
      <c r="T3" s="167">
        <f>IF(B2&lt;&gt;B3,1,IF(C2=C3,#REF!+1,1))</f>
        <v>1</v>
      </c>
    </row>
    <row r="4" spans="1:20" s="25" customFormat="1" ht="63" x14ac:dyDescent="0.15">
      <c r="A4" s="52" t="str">
        <f ca="1">IF(B4&lt;&gt;"",表紙!$AB$1&amp;"-"&amp;"結合-"&amp;TEXT($S$1,"00")&amp;"-"&amp;TEXT(R4,"00")&amp;"-"&amp;TEXT(S4,"00")&amp;"-"&amp;TEXT(T4,"０00"),"")</f>
        <v>線分-結合-01-01-01-002</v>
      </c>
      <c r="B4" s="26" t="s">
        <v>195</v>
      </c>
      <c r="C4" s="26" t="s">
        <v>164</v>
      </c>
      <c r="D4" s="26" t="s">
        <v>168</v>
      </c>
      <c r="E4" s="43" t="s">
        <v>166</v>
      </c>
      <c r="F4" s="43"/>
      <c r="G4" s="34" t="s">
        <v>176</v>
      </c>
      <c r="H4" s="26" t="s">
        <v>167</v>
      </c>
      <c r="I4" s="70">
        <v>44907</v>
      </c>
      <c r="J4" s="71" t="s">
        <v>551</v>
      </c>
      <c r="K4" s="72" t="s">
        <v>552</v>
      </c>
      <c r="L4" s="26"/>
      <c r="M4" s="26"/>
      <c r="R4" s="167">
        <f t="shared" ref="R4:R67" si="0">IF(ROW()&lt;&gt;3,IF(B3&lt;&gt;B4,R3+1,R3),1)</f>
        <v>1</v>
      </c>
      <c r="S4" s="167">
        <f t="shared" ref="S4:S67" si="1">IF(B3=B4,IF(C3&lt;&gt;C4,S3+1,S3),1)</f>
        <v>1</v>
      </c>
      <c r="T4" s="167">
        <f t="shared" ref="T4:T67" si="2">IF(B3&lt;&gt;B4,1,IF(C3=C4,T3+1,1))</f>
        <v>2</v>
      </c>
    </row>
    <row r="5" spans="1:20" s="25" customFormat="1" ht="63" x14ac:dyDescent="0.15">
      <c r="A5" s="52" t="str">
        <f ca="1">IF(B5&lt;&gt;"",表紙!$AB$1&amp;"-"&amp;"結合-"&amp;TEXT($S$1,"00")&amp;"-"&amp;TEXT(R5,"00")&amp;"-"&amp;TEXT(S5,"00")&amp;"-"&amp;TEXT(T5,"０00"),"")</f>
        <v>線分-結合-01-01-01-003</v>
      </c>
      <c r="B5" s="26" t="s">
        <v>195</v>
      </c>
      <c r="C5" s="26" t="s">
        <v>164</v>
      </c>
      <c r="D5" s="26" t="s">
        <v>169</v>
      </c>
      <c r="E5" s="43" t="s">
        <v>166</v>
      </c>
      <c r="F5" s="43"/>
      <c r="G5" s="34" t="s">
        <v>177</v>
      </c>
      <c r="H5" s="34" t="s">
        <v>167</v>
      </c>
      <c r="I5" s="70">
        <v>44907</v>
      </c>
      <c r="J5" s="71" t="s">
        <v>551</v>
      </c>
      <c r="K5" s="72" t="s">
        <v>552</v>
      </c>
      <c r="L5" s="26"/>
      <c r="M5" s="26"/>
      <c r="R5" s="167">
        <f t="shared" si="0"/>
        <v>1</v>
      </c>
      <c r="S5" s="167">
        <f t="shared" si="1"/>
        <v>1</v>
      </c>
      <c r="T5" s="167">
        <f t="shared" si="2"/>
        <v>3</v>
      </c>
    </row>
    <row r="6" spans="1:20" s="25" customFormat="1" ht="63" x14ac:dyDescent="0.15">
      <c r="A6" s="52" t="str">
        <f ca="1">IF(B6&lt;&gt;"",表紙!$AB$1&amp;"-"&amp;"結合-"&amp;TEXT($S$1,"00")&amp;"-"&amp;TEXT(R6,"00")&amp;"-"&amp;TEXT(S6,"00")&amp;"-"&amp;TEXT(T6,"０00"),"")</f>
        <v>線分-結合-01-01-01-004</v>
      </c>
      <c r="B6" s="26" t="s">
        <v>195</v>
      </c>
      <c r="C6" s="26" t="s">
        <v>164</v>
      </c>
      <c r="D6" s="26" t="s">
        <v>170</v>
      </c>
      <c r="E6" s="43" t="s">
        <v>166</v>
      </c>
      <c r="F6" s="43"/>
      <c r="G6" s="34" t="s">
        <v>178</v>
      </c>
      <c r="H6" s="34" t="s">
        <v>167</v>
      </c>
      <c r="I6" s="70">
        <v>44907</v>
      </c>
      <c r="J6" s="71" t="s">
        <v>551</v>
      </c>
      <c r="K6" s="72" t="s">
        <v>552</v>
      </c>
      <c r="L6" s="26"/>
      <c r="M6" s="26"/>
      <c r="R6" s="167">
        <f t="shared" si="0"/>
        <v>1</v>
      </c>
      <c r="S6" s="167">
        <f t="shared" si="1"/>
        <v>1</v>
      </c>
      <c r="T6" s="167">
        <f t="shared" si="2"/>
        <v>4</v>
      </c>
    </row>
    <row r="7" spans="1:20" s="25" customFormat="1" ht="63" x14ac:dyDescent="0.15">
      <c r="A7" s="52" t="str">
        <f ca="1">IF(B7&lt;&gt;"",表紙!$AB$1&amp;"-"&amp;"結合-"&amp;TEXT($S$1,"00")&amp;"-"&amp;TEXT(R7,"00")&amp;"-"&amp;TEXT(S7,"00")&amp;"-"&amp;TEXT(T7,"０00"),"")</f>
        <v>線分-結合-01-01-01-005</v>
      </c>
      <c r="B7" s="26" t="s">
        <v>195</v>
      </c>
      <c r="C7" s="26" t="s">
        <v>164</v>
      </c>
      <c r="D7" s="26" t="s">
        <v>171</v>
      </c>
      <c r="E7" s="43" t="s">
        <v>166</v>
      </c>
      <c r="F7" s="43"/>
      <c r="G7" s="34" t="s">
        <v>179</v>
      </c>
      <c r="H7" s="34" t="s">
        <v>167</v>
      </c>
      <c r="I7" s="70">
        <v>44907</v>
      </c>
      <c r="J7" s="71" t="s">
        <v>551</v>
      </c>
      <c r="K7" s="72" t="s">
        <v>552</v>
      </c>
      <c r="L7" s="26"/>
      <c r="M7" s="26"/>
      <c r="R7" s="167">
        <f t="shared" si="0"/>
        <v>1</v>
      </c>
      <c r="S7" s="167">
        <f t="shared" si="1"/>
        <v>1</v>
      </c>
      <c r="T7" s="167">
        <f t="shared" si="2"/>
        <v>5</v>
      </c>
    </row>
    <row r="8" spans="1:20" s="25" customFormat="1" ht="63" x14ac:dyDescent="0.15">
      <c r="A8" s="52" t="str">
        <f ca="1">IF(B8&lt;&gt;"",表紙!$AB$1&amp;"-"&amp;"結合-"&amp;TEXT($S$1,"00")&amp;"-"&amp;TEXT(R8,"00")&amp;"-"&amp;TEXT(S8,"00")&amp;"-"&amp;TEXT(T8,"０00"),"")</f>
        <v>線分-結合-01-01-01-006</v>
      </c>
      <c r="B8" s="26" t="s">
        <v>195</v>
      </c>
      <c r="C8" s="26" t="s">
        <v>164</v>
      </c>
      <c r="D8" s="26" t="s">
        <v>172</v>
      </c>
      <c r="E8" s="43" t="s">
        <v>166</v>
      </c>
      <c r="F8" s="43"/>
      <c r="G8" s="34" t="s">
        <v>180</v>
      </c>
      <c r="H8" s="34" t="s">
        <v>167</v>
      </c>
      <c r="I8" s="70">
        <v>44907</v>
      </c>
      <c r="J8" s="71" t="s">
        <v>551</v>
      </c>
      <c r="K8" s="72" t="s">
        <v>552</v>
      </c>
      <c r="L8" s="26"/>
      <c r="M8" s="26"/>
      <c r="R8" s="167">
        <f t="shared" si="0"/>
        <v>1</v>
      </c>
      <c r="S8" s="167">
        <f t="shared" si="1"/>
        <v>1</v>
      </c>
      <c r="T8" s="167">
        <f t="shared" si="2"/>
        <v>6</v>
      </c>
    </row>
    <row r="9" spans="1:20" s="25" customFormat="1" ht="63" x14ac:dyDescent="0.15">
      <c r="A9" s="52" t="str">
        <f ca="1">IF(B9&lt;&gt;"",表紙!$AB$1&amp;"-"&amp;"結合-"&amp;TEXT($S$1,"00")&amp;"-"&amp;TEXT(R9,"00")&amp;"-"&amp;TEXT(S9,"00")&amp;"-"&amp;TEXT(T9,"０00"),"")</f>
        <v>線分-結合-01-01-02-001</v>
      </c>
      <c r="B9" s="26" t="s">
        <v>195</v>
      </c>
      <c r="C9" s="26" t="s">
        <v>173</v>
      </c>
      <c r="D9" s="34" t="s">
        <v>104</v>
      </c>
      <c r="E9" s="43" t="s">
        <v>166</v>
      </c>
      <c r="F9" s="43"/>
      <c r="G9" s="34" t="s">
        <v>181</v>
      </c>
      <c r="H9" s="34" t="s">
        <v>167</v>
      </c>
      <c r="I9" s="70">
        <v>44907</v>
      </c>
      <c r="J9" s="71" t="s">
        <v>551</v>
      </c>
      <c r="K9" s="72" t="s">
        <v>552</v>
      </c>
      <c r="L9" s="26"/>
      <c r="M9" s="26"/>
      <c r="R9" s="167">
        <f t="shared" si="0"/>
        <v>1</v>
      </c>
      <c r="S9" s="167">
        <f t="shared" si="1"/>
        <v>2</v>
      </c>
      <c r="T9" s="167">
        <f t="shared" si="2"/>
        <v>1</v>
      </c>
    </row>
    <row r="10" spans="1:20" s="25" customFormat="1" ht="63" x14ac:dyDescent="0.15">
      <c r="A10" s="52" t="str">
        <f ca="1">IF(B10&lt;&gt;"",表紙!$AB$1&amp;"-"&amp;"結合-"&amp;TEXT($S$1,"00")&amp;"-"&amp;TEXT(R10,"00")&amp;"-"&amp;TEXT(S10,"00")&amp;"-"&amp;TEXT(T10,"０00"),"")</f>
        <v>線分-結合-01-01-02-002</v>
      </c>
      <c r="B10" s="26" t="s">
        <v>195</v>
      </c>
      <c r="C10" s="26" t="s">
        <v>173</v>
      </c>
      <c r="D10" s="34" t="s">
        <v>105</v>
      </c>
      <c r="E10" s="43" t="s">
        <v>166</v>
      </c>
      <c r="F10" s="43"/>
      <c r="G10" s="34" t="s">
        <v>182</v>
      </c>
      <c r="H10" s="34" t="s">
        <v>167</v>
      </c>
      <c r="I10" s="70">
        <v>44907</v>
      </c>
      <c r="J10" s="71" t="s">
        <v>551</v>
      </c>
      <c r="K10" s="72" t="s">
        <v>552</v>
      </c>
      <c r="L10" s="26"/>
      <c r="M10" s="26"/>
      <c r="R10" s="167">
        <f t="shared" si="0"/>
        <v>1</v>
      </c>
      <c r="S10" s="167">
        <f t="shared" si="1"/>
        <v>2</v>
      </c>
      <c r="T10" s="167">
        <f t="shared" si="2"/>
        <v>2</v>
      </c>
    </row>
    <row r="11" spans="1:20" s="25" customFormat="1" ht="52.5" x14ac:dyDescent="0.15">
      <c r="A11" s="52" t="str">
        <f ca="1">IF(B11&lt;&gt;"",表紙!$AB$1&amp;"-"&amp;"結合-"&amp;TEXT($S$1,"00")&amp;"-"&amp;TEXT(R11,"00")&amp;"-"&amp;TEXT(S11,"00")&amp;"-"&amp;TEXT(T11,"０00"),"")</f>
        <v>線分-結合-01-02-01-001</v>
      </c>
      <c r="B11" s="26" t="s">
        <v>183</v>
      </c>
      <c r="C11" s="26" t="s">
        <v>187</v>
      </c>
      <c r="D11" s="34" t="s">
        <v>174</v>
      </c>
      <c r="E11" s="43" t="s">
        <v>185</v>
      </c>
      <c r="F11" s="43"/>
      <c r="G11" s="34" t="s">
        <v>360</v>
      </c>
      <c r="H11" s="34" t="s">
        <v>361</v>
      </c>
      <c r="I11" s="70">
        <v>44907</v>
      </c>
      <c r="J11" s="71" t="s">
        <v>551</v>
      </c>
      <c r="K11" s="72" t="s">
        <v>552</v>
      </c>
      <c r="L11" s="26"/>
      <c r="M11" s="26"/>
      <c r="R11" s="167">
        <f t="shared" si="0"/>
        <v>2</v>
      </c>
      <c r="S11" s="167">
        <f t="shared" si="1"/>
        <v>1</v>
      </c>
      <c r="T11" s="167">
        <f t="shared" si="2"/>
        <v>1</v>
      </c>
    </row>
    <row r="12" spans="1:20" s="25" customFormat="1" ht="31.5" x14ac:dyDescent="0.15">
      <c r="A12" s="52" t="str">
        <f ca="1">IF(B12&lt;&gt;"",表紙!$AB$1&amp;"-"&amp;"結合-"&amp;TEXT($S$1,"00")&amp;"-"&amp;TEXT(R12,"00")&amp;"-"&amp;TEXT(S12,"00")&amp;"-"&amp;TEXT(T12,"０00"),"")</f>
        <v>線分-結合-01-02-02-001</v>
      </c>
      <c r="B12" s="26" t="s">
        <v>183</v>
      </c>
      <c r="C12" s="26" t="s">
        <v>184</v>
      </c>
      <c r="D12" s="34" t="s">
        <v>162</v>
      </c>
      <c r="E12" s="43" t="s">
        <v>185</v>
      </c>
      <c r="F12" s="43"/>
      <c r="G12" s="34" t="s">
        <v>302</v>
      </c>
      <c r="H12" s="34" t="s">
        <v>303</v>
      </c>
      <c r="I12" s="70">
        <v>44908</v>
      </c>
      <c r="J12" s="71" t="s">
        <v>551</v>
      </c>
      <c r="K12" s="72" t="s">
        <v>552</v>
      </c>
      <c r="L12" s="26"/>
      <c r="M12" s="26"/>
      <c r="R12" s="167">
        <f t="shared" si="0"/>
        <v>2</v>
      </c>
      <c r="S12" s="167">
        <f t="shared" si="1"/>
        <v>2</v>
      </c>
      <c r="T12" s="167">
        <f t="shared" si="2"/>
        <v>1</v>
      </c>
    </row>
    <row r="13" spans="1:20" s="25" customFormat="1" ht="31.5" x14ac:dyDescent="0.15">
      <c r="A13" s="52" t="str">
        <f ca="1">IF(B13&lt;&gt;"",表紙!$AB$1&amp;"-"&amp;"結合-"&amp;TEXT($S$1,"00")&amp;"-"&amp;TEXT(R13,"00")&amp;"-"&amp;TEXT(S13,"00")&amp;"-"&amp;TEXT(T13,"０00"),"")</f>
        <v>線分-結合-01-02-02-002</v>
      </c>
      <c r="B13" s="26" t="s">
        <v>183</v>
      </c>
      <c r="C13" s="26" t="s">
        <v>184</v>
      </c>
      <c r="D13" s="34" t="s">
        <v>109</v>
      </c>
      <c r="E13" s="43" t="s">
        <v>185</v>
      </c>
      <c r="F13" s="43"/>
      <c r="G13" s="34" t="s">
        <v>304</v>
      </c>
      <c r="H13" s="34" t="s">
        <v>303</v>
      </c>
      <c r="I13" s="70">
        <v>44908</v>
      </c>
      <c r="J13" s="71" t="s">
        <v>551</v>
      </c>
      <c r="K13" s="72" t="s">
        <v>552</v>
      </c>
      <c r="L13" s="26"/>
      <c r="M13" s="26"/>
      <c r="R13" s="167">
        <f t="shared" si="0"/>
        <v>2</v>
      </c>
      <c r="S13" s="167">
        <f t="shared" si="1"/>
        <v>2</v>
      </c>
      <c r="T13" s="167">
        <f t="shared" si="2"/>
        <v>2</v>
      </c>
    </row>
    <row r="14" spans="1:20" s="25" customFormat="1" ht="31.5" x14ac:dyDescent="0.15">
      <c r="A14" s="52" t="str">
        <f ca="1">IF(B14&lt;&gt;"",表紙!$AB$1&amp;"-"&amp;"結合-"&amp;TEXT($S$1,"00")&amp;"-"&amp;TEXT(R14,"00")&amp;"-"&amp;TEXT(S14,"00")&amp;"-"&amp;TEXT(T14,"０00"),"")</f>
        <v>線分-結合-01-02-02-003</v>
      </c>
      <c r="B14" s="26" t="s">
        <v>183</v>
      </c>
      <c r="C14" s="26" t="s">
        <v>184</v>
      </c>
      <c r="D14" s="34" t="s">
        <v>110</v>
      </c>
      <c r="E14" s="43" t="s">
        <v>185</v>
      </c>
      <c r="F14" s="43"/>
      <c r="G14" s="34" t="s">
        <v>305</v>
      </c>
      <c r="H14" s="34" t="s">
        <v>303</v>
      </c>
      <c r="I14" s="70">
        <v>44908</v>
      </c>
      <c r="J14" s="71" t="s">
        <v>551</v>
      </c>
      <c r="K14" s="72" t="s">
        <v>552</v>
      </c>
      <c r="L14" s="26"/>
      <c r="M14" s="26"/>
      <c r="R14" s="167">
        <f t="shared" si="0"/>
        <v>2</v>
      </c>
      <c r="S14" s="167">
        <f t="shared" si="1"/>
        <v>2</v>
      </c>
      <c r="T14" s="167">
        <f t="shared" si="2"/>
        <v>3</v>
      </c>
    </row>
    <row r="15" spans="1:20" s="25" customFormat="1" ht="31.5" x14ac:dyDescent="0.15">
      <c r="A15" s="52" t="str">
        <f ca="1">IF(B15&lt;&gt;"",表紙!$AB$1&amp;"-"&amp;"結合-"&amp;TEXT($S$1,"00")&amp;"-"&amp;TEXT(R15,"00")&amp;"-"&amp;TEXT(S15,"00")&amp;"-"&amp;TEXT(T15,"０00"),"")</f>
        <v>線分-結合-01-02-02-004</v>
      </c>
      <c r="B15" s="26" t="s">
        <v>183</v>
      </c>
      <c r="C15" s="26" t="s">
        <v>184</v>
      </c>
      <c r="D15" s="34" t="s">
        <v>214</v>
      </c>
      <c r="E15" s="43" t="s">
        <v>185</v>
      </c>
      <c r="F15" s="43"/>
      <c r="G15" s="34" t="s">
        <v>310</v>
      </c>
      <c r="H15" s="34" t="s">
        <v>303</v>
      </c>
      <c r="I15" s="70">
        <v>44908</v>
      </c>
      <c r="J15" s="71" t="s">
        <v>551</v>
      </c>
      <c r="K15" s="72" t="s">
        <v>552</v>
      </c>
      <c r="L15" s="26"/>
      <c r="M15" s="26"/>
      <c r="R15" s="167">
        <f t="shared" si="0"/>
        <v>2</v>
      </c>
      <c r="S15" s="167">
        <f t="shared" si="1"/>
        <v>2</v>
      </c>
      <c r="T15" s="167">
        <f t="shared" si="2"/>
        <v>4</v>
      </c>
    </row>
    <row r="16" spans="1:20" s="25" customFormat="1" ht="31.5" x14ac:dyDescent="0.15">
      <c r="A16" s="52" t="str">
        <f ca="1">IF(B16&lt;&gt;"",表紙!$AB$1&amp;"-"&amp;"結合-"&amp;TEXT($S$1,"00")&amp;"-"&amp;TEXT(R16,"00")&amp;"-"&amp;TEXT(S16,"00")&amp;"-"&amp;TEXT(T16,"０00"),"")</f>
        <v>線分-結合-01-02-02-005</v>
      </c>
      <c r="B16" s="26" t="s">
        <v>183</v>
      </c>
      <c r="C16" s="26" t="s">
        <v>184</v>
      </c>
      <c r="D16" s="26" t="s">
        <v>111</v>
      </c>
      <c r="E16" s="43" t="s">
        <v>185</v>
      </c>
      <c r="F16" s="43"/>
      <c r="G16" s="34" t="s">
        <v>311</v>
      </c>
      <c r="H16" s="34" t="s">
        <v>303</v>
      </c>
      <c r="I16" s="70">
        <v>44908</v>
      </c>
      <c r="J16" s="71" t="s">
        <v>551</v>
      </c>
      <c r="K16" s="72" t="s">
        <v>552</v>
      </c>
      <c r="L16" s="26"/>
      <c r="M16" s="26"/>
      <c r="R16" s="167">
        <f t="shared" si="0"/>
        <v>2</v>
      </c>
      <c r="S16" s="167">
        <f t="shared" si="1"/>
        <v>2</v>
      </c>
      <c r="T16" s="167">
        <f t="shared" si="2"/>
        <v>5</v>
      </c>
    </row>
    <row r="17" spans="1:20" s="25" customFormat="1" ht="31.5" x14ac:dyDescent="0.15">
      <c r="A17" s="52" t="str">
        <f ca="1">IF(B17&lt;&gt;"",表紙!$AB$1&amp;"-"&amp;"結合-"&amp;TEXT($S$1,"00")&amp;"-"&amp;TEXT(R17,"00")&amp;"-"&amp;TEXT(S17,"00")&amp;"-"&amp;TEXT(T17,"０00"),"")</f>
        <v>線分-結合-01-02-02-006</v>
      </c>
      <c r="B17" s="26" t="s">
        <v>183</v>
      </c>
      <c r="C17" s="26" t="s">
        <v>184</v>
      </c>
      <c r="D17" s="26" t="s">
        <v>112</v>
      </c>
      <c r="E17" s="43" t="s">
        <v>185</v>
      </c>
      <c r="F17" s="43"/>
      <c r="G17" s="34" t="s">
        <v>306</v>
      </c>
      <c r="H17" s="34" t="s">
        <v>303</v>
      </c>
      <c r="I17" s="70">
        <v>44908</v>
      </c>
      <c r="J17" s="71" t="s">
        <v>551</v>
      </c>
      <c r="K17" s="72" t="s">
        <v>552</v>
      </c>
      <c r="L17" s="26"/>
      <c r="M17" s="26"/>
      <c r="R17" s="167">
        <f t="shared" si="0"/>
        <v>2</v>
      </c>
      <c r="S17" s="167">
        <f t="shared" si="1"/>
        <v>2</v>
      </c>
      <c r="T17" s="167">
        <f t="shared" si="2"/>
        <v>6</v>
      </c>
    </row>
    <row r="18" spans="1:20" s="25" customFormat="1" ht="31.5" x14ac:dyDescent="0.15">
      <c r="A18" s="52" t="str">
        <f ca="1">IF(B18&lt;&gt;"",表紙!$AB$1&amp;"-"&amp;"結合-"&amp;TEXT($S$1,"00")&amp;"-"&amp;TEXT(R18,"00")&amp;"-"&amp;TEXT(S18,"00")&amp;"-"&amp;TEXT(T18,"０00"),"")</f>
        <v>線分-結合-01-02-02-007</v>
      </c>
      <c r="B18" s="26" t="s">
        <v>183</v>
      </c>
      <c r="C18" s="26" t="s">
        <v>184</v>
      </c>
      <c r="D18" s="26" t="s">
        <v>113</v>
      </c>
      <c r="E18" s="43" t="s">
        <v>185</v>
      </c>
      <c r="F18" s="43"/>
      <c r="G18" s="34" t="s">
        <v>307</v>
      </c>
      <c r="H18" s="34" t="s">
        <v>303</v>
      </c>
      <c r="I18" s="70">
        <v>44909</v>
      </c>
      <c r="J18" s="71" t="s">
        <v>551</v>
      </c>
      <c r="K18" s="72" t="s">
        <v>552</v>
      </c>
      <c r="L18" s="26"/>
      <c r="M18" s="26"/>
      <c r="R18" s="167">
        <f t="shared" si="0"/>
        <v>2</v>
      </c>
      <c r="S18" s="167">
        <f t="shared" si="1"/>
        <v>2</v>
      </c>
      <c r="T18" s="167">
        <f t="shared" si="2"/>
        <v>7</v>
      </c>
    </row>
    <row r="19" spans="1:20" s="25" customFormat="1" ht="31.5" x14ac:dyDescent="0.15">
      <c r="A19" s="52" t="str">
        <f ca="1">IF(B19&lt;&gt;"",表紙!$AB$1&amp;"-"&amp;"結合-"&amp;TEXT($S$1,"00")&amp;"-"&amp;TEXT(R19,"00")&amp;"-"&amp;TEXT(S19,"00")&amp;"-"&amp;TEXT(T19,"０00"),"")</f>
        <v>線分-結合-01-02-02-008</v>
      </c>
      <c r="B19" s="26" t="s">
        <v>183</v>
      </c>
      <c r="C19" s="26" t="s">
        <v>184</v>
      </c>
      <c r="D19" s="26" t="s">
        <v>114</v>
      </c>
      <c r="E19" s="43" t="s">
        <v>185</v>
      </c>
      <c r="F19" s="43"/>
      <c r="G19" s="34" t="s">
        <v>308</v>
      </c>
      <c r="H19" s="34" t="s">
        <v>303</v>
      </c>
      <c r="I19" s="70">
        <v>44908</v>
      </c>
      <c r="J19" s="71" t="s">
        <v>551</v>
      </c>
      <c r="K19" s="72" t="s">
        <v>552</v>
      </c>
      <c r="L19" s="26"/>
      <c r="M19" s="26"/>
      <c r="R19" s="167">
        <f t="shared" si="0"/>
        <v>2</v>
      </c>
      <c r="S19" s="167">
        <f t="shared" si="1"/>
        <v>2</v>
      </c>
      <c r="T19" s="167">
        <f t="shared" si="2"/>
        <v>8</v>
      </c>
    </row>
    <row r="20" spans="1:20" s="25" customFormat="1" ht="31.5" x14ac:dyDescent="0.15">
      <c r="A20" s="52" t="str">
        <f ca="1">IF(B20&lt;&gt;"",表紙!$AB$1&amp;"-"&amp;"結合-"&amp;TEXT($S$1,"00")&amp;"-"&amp;TEXT(R20,"00")&amp;"-"&amp;TEXT(S20,"00")&amp;"-"&amp;TEXT(T20,"０00"),"")</f>
        <v>線分-結合-01-02-02-009</v>
      </c>
      <c r="B20" s="26" t="s">
        <v>183</v>
      </c>
      <c r="C20" s="26" t="s">
        <v>184</v>
      </c>
      <c r="D20" s="26" t="s">
        <v>115</v>
      </c>
      <c r="E20" s="43" t="s">
        <v>185</v>
      </c>
      <c r="F20" s="43"/>
      <c r="G20" s="34" t="s">
        <v>309</v>
      </c>
      <c r="H20" s="34" t="s">
        <v>303</v>
      </c>
      <c r="I20" s="70">
        <v>44908</v>
      </c>
      <c r="J20" s="71" t="s">
        <v>551</v>
      </c>
      <c r="K20" s="72" t="s">
        <v>552</v>
      </c>
      <c r="L20" s="26"/>
      <c r="M20" s="26"/>
      <c r="R20" s="167">
        <f t="shared" si="0"/>
        <v>2</v>
      </c>
      <c r="S20" s="167">
        <f t="shared" si="1"/>
        <v>2</v>
      </c>
      <c r="T20" s="167">
        <f t="shared" si="2"/>
        <v>9</v>
      </c>
    </row>
    <row r="21" spans="1:20" s="25" customFormat="1" ht="31.5" x14ac:dyDescent="0.15">
      <c r="A21" s="52" t="str">
        <f ca="1">IF(B21&lt;&gt;"",表紙!$AB$1&amp;"-"&amp;"結合-"&amp;TEXT($S$1,"00")&amp;"-"&amp;TEXT(R21,"00")&amp;"-"&amp;TEXT(S21,"00")&amp;"-"&amp;TEXT(T21,"０00"),"")</f>
        <v>線分-結合-01-02-02-010</v>
      </c>
      <c r="B21" s="26" t="s">
        <v>183</v>
      </c>
      <c r="C21" s="26" t="s">
        <v>184</v>
      </c>
      <c r="D21" s="26" t="s">
        <v>116</v>
      </c>
      <c r="E21" s="43" t="s">
        <v>185</v>
      </c>
      <c r="F21" s="43"/>
      <c r="G21" s="34" t="s">
        <v>312</v>
      </c>
      <c r="H21" s="34" t="s">
        <v>303</v>
      </c>
      <c r="I21" s="70">
        <v>44908</v>
      </c>
      <c r="J21" s="71" t="s">
        <v>551</v>
      </c>
      <c r="K21" s="72" t="s">
        <v>552</v>
      </c>
      <c r="L21" s="26"/>
      <c r="M21" s="26"/>
      <c r="R21" s="167">
        <f t="shared" si="0"/>
        <v>2</v>
      </c>
      <c r="S21" s="167">
        <f t="shared" si="1"/>
        <v>2</v>
      </c>
      <c r="T21" s="167">
        <f t="shared" si="2"/>
        <v>10</v>
      </c>
    </row>
    <row r="22" spans="1:20" s="25" customFormat="1" ht="31.5" x14ac:dyDescent="0.15">
      <c r="A22" s="52" t="str">
        <f ca="1">IF(B22&lt;&gt;"",表紙!$AB$1&amp;"-"&amp;"結合-"&amp;TEXT($S$1,"00")&amp;"-"&amp;TEXT(R22,"00")&amp;"-"&amp;TEXT(S22,"00")&amp;"-"&amp;TEXT(T22,"０00"),"")</f>
        <v>線分-結合-01-02-02-011</v>
      </c>
      <c r="B22" s="26" t="s">
        <v>183</v>
      </c>
      <c r="C22" s="26" t="s">
        <v>184</v>
      </c>
      <c r="D22" s="26" t="s">
        <v>117</v>
      </c>
      <c r="E22" s="43" t="s">
        <v>185</v>
      </c>
      <c r="F22" s="43"/>
      <c r="G22" s="34" t="s">
        <v>313</v>
      </c>
      <c r="H22" s="34" t="s">
        <v>303</v>
      </c>
      <c r="I22" s="70">
        <v>44908</v>
      </c>
      <c r="J22" s="71" t="s">
        <v>551</v>
      </c>
      <c r="K22" s="72" t="s">
        <v>552</v>
      </c>
      <c r="L22" s="26"/>
      <c r="M22" s="26"/>
      <c r="R22" s="167">
        <f t="shared" si="0"/>
        <v>2</v>
      </c>
      <c r="S22" s="167">
        <f t="shared" si="1"/>
        <v>2</v>
      </c>
      <c r="T22" s="167">
        <f t="shared" si="2"/>
        <v>11</v>
      </c>
    </row>
    <row r="23" spans="1:20" s="25" customFormat="1" ht="31.5" x14ac:dyDescent="0.15">
      <c r="A23" s="52" t="str">
        <f ca="1">IF(B23&lt;&gt;"",表紙!$AB$1&amp;"-"&amp;"結合-"&amp;TEXT($S$1,"00")&amp;"-"&amp;TEXT(R23,"00")&amp;"-"&amp;TEXT(S23,"00")&amp;"-"&amp;TEXT(T23,"０00"),"")</f>
        <v>線分-結合-01-02-02-012</v>
      </c>
      <c r="B23" s="26" t="s">
        <v>183</v>
      </c>
      <c r="C23" s="26" t="s">
        <v>184</v>
      </c>
      <c r="D23" s="26" t="s">
        <v>118</v>
      </c>
      <c r="E23" s="43" t="s">
        <v>185</v>
      </c>
      <c r="F23" s="43"/>
      <c r="G23" s="34" t="s">
        <v>314</v>
      </c>
      <c r="H23" s="34" t="s">
        <v>303</v>
      </c>
      <c r="I23" s="70">
        <v>44908</v>
      </c>
      <c r="J23" s="71" t="s">
        <v>551</v>
      </c>
      <c r="K23" s="72" t="s">
        <v>552</v>
      </c>
      <c r="L23" s="26"/>
      <c r="M23" s="26"/>
      <c r="R23" s="167">
        <f t="shared" si="0"/>
        <v>2</v>
      </c>
      <c r="S23" s="167">
        <f t="shared" si="1"/>
        <v>2</v>
      </c>
      <c r="T23" s="167">
        <f t="shared" si="2"/>
        <v>12</v>
      </c>
    </row>
    <row r="24" spans="1:20" s="25" customFormat="1" ht="31.5" x14ac:dyDescent="0.15">
      <c r="A24" s="52" t="str">
        <f ca="1">IF(B24&lt;&gt;"",表紙!$AB$1&amp;"-"&amp;"結合-"&amp;TEXT($S$1,"00")&amp;"-"&amp;TEXT(R24,"00")&amp;"-"&amp;TEXT(S24,"00")&amp;"-"&amp;TEXT(T24,"０00"),"")</f>
        <v>線分-結合-01-02-02-013</v>
      </c>
      <c r="B24" s="26" t="s">
        <v>183</v>
      </c>
      <c r="C24" s="26" t="s">
        <v>184</v>
      </c>
      <c r="D24" s="26" t="s">
        <v>119</v>
      </c>
      <c r="E24" s="43" t="s">
        <v>185</v>
      </c>
      <c r="F24" s="43"/>
      <c r="G24" s="34" t="s">
        <v>315</v>
      </c>
      <c r="H24" s="34" t="s">
        <v>303</v>
      </c>
      <c r="I24" s="70">
        <v>44908</v>
      </c>
      <c r="J24" s="71" t="s">
        <v>551</v>
      </c>
      <c r="K24" s="72" t="s">
        <v>552</v>
      </c>
      <c r="L24" s="26"/>
      <c r="M24" s="26"/>
      <c r="R24" s="167">
        <f t="shared" si="0"/>
        <v>2</v>
      </c>
      <c r="S24" s="167">
        <f t="shared" si="1"/>
        <v>2</v>
      </c>
      <c r="T24" s="167">
        <f t="shared" si="2"/>
        <v>13</v>
      </c>
    </row>
    <row r="25" spans="1:20" s="25" customFormat="1" ht="31.5" x14ac:dyDescent="0.15">
      <c r="A25" s="52" t="str">
        <f ca="1">IF(B25&lt;&gt;"",表紙!$AB$1&amp;"-"&amp;"結合-"&amp;TEXT($S$1,"00")&amp;"-"&amp;TEXT(R25,"00")&amp;"-"&amp;TEXT(S25,"00")&amp;"-"&amp;TEXT(T25,"０00"),"")</f>
        <v>線分-結合-01-02-02-014</v>
      </c>
      <c r="B25" s="26" t="s">
        <v>183</v>
      </c>
      <c r="C25" s="26" t="s">
        <v>184</v>
      </c>
      <c r="D25" s="26" t="s">
        <v>120</v>
      </c>
      <c r="E25" s="43" t="s">
        <v>185</v>
      </c>
      <c r="F25" s="43"/>
      <c r="G25" s="34" t="s">
        <v>316</v>
      </c>
      <c r="H25" s="34" t="s">
        <v>303</v>
      </c>
      <c r="I25" s="70">
        <v>44908</v>
      </c>
      <c r="J25" s="71" t="s">
        <v>551</v>
      </c>
      <c r="K25" s="72" t="s">
        <v>552</v>
      </c>
      <c r="L25" s="26"/>
      <c r="M25" s="26"/>
      <c r="R25" s="167">
        <f t="shared" si="0"/>
        <v>2</v>
      </c>
      <c r="S25" s="167">
        <f t="shared" si="1"/>
        <v>2</v>
      </c>
      <c r="T25" s="167">
        <f t="shared" si="2"/>
        <v>14</v>
      </c>
    </row>
    <row r="26" spans="1:20" s="25" customFormat="1" ht="31.5" x14ac:dyDescent="0.15">
      <c r="A26" s="52" t="str">
        <f ca="1">IF(B26&lt;&gt;"",表紙!$AB$1&amp;"-"&amp;"結合-"&amp;TEXT($S$1,"00")&amp;"-"&amp;TEXT(R26,"00")&amp;"-"&amp;TEXT(S26,"00")&amp;"-"&amp;TEXT(T26,"０00"),"")</f>
        <v>線分-結合-01-02-02-015</v>
      </c>
      <c r="B26" s="26" t="s">
        <v>183</v>
      </c>
      <c r="C26" s="26" t="s">
        <v>184</v>
      </c>
      <c r="D26" s="26" t="s">
        <v>121</v>
      </c>
      <c r="E26" s="43" t="s">
        <v>185</v>
      </c>
      <c r="F26" s="43"/>
      <c r="G26" s="34" t="s">
        <v>317</v>
      </c>
      <c r="H26" s="34" t="s">
        <v>303</v>
      </c>
      <c r="I26" s="70">
        <v>44908</v>
      </c>
      <c r="J26" s="71" t="s">
        <v>551</v>
      </c>
      <c r="K26" s="72" t="s">
        <v>552</v>
      </c>
      <c r="L26" s="26"/>
      <c r="M26" s="26"/>
      <c r="R26" s="167">
        <f t="shared" si="0"/>
        <v>2</v>
      </c>
      <c r="S26" s="167">
        <f t="shared" si="1"/>
        <v>2</v>
      </c>
      <c r="T26" s="167">
        <f t="shared" si="2"/>
        <v>15</v>
      </c>
    </row>
    <row r="27" spans="1:20" s="25" customFormat="1" ht="31.5" x14ac:dyDescent="0.15">
      <c r="A27" s="52" t="str">
        <f ca="1">IF(B27&lt;&gt;"",表紙!$AB$1&amp;"-"&amp;"結合-"&amp;TEXT($S$1,"00")&amp;"-"&amp;TEXT(R27,"00")&amp;"-"&amp;TEXT(S27,"00")&amp;"-"&amp;TEXT(T27,"０00"),"")</f>
        <v>線分-結合-01-02-02-016</v>
      </c>
      <c r="B27" s="26" t="s">
        <v>183</v>
      </c>
      <c r="C27" s="26" t="s">
        <v>184</v>
      </c>
      <c r="D27" s="26" t="s">
        <v>122</v>
      </c>
      <c r="E27" s="43" t="s">
        <v>185</v>
      </c>
      <c r="F27" s="43"/>
      <c r="G27" s="34" t="s">
        <v>318</v>
      </c>
      <c r="H27" s="34" t="s">
        <v>303</v>
      </c>
      <c r="I27" s="70">
        <v>44908</v>
      </c>
      <c r="J27" s="71" t="s">
        <v>551</v>
      </c>
      <c r="K27" s="72" t="s">
        <v>552</v>
      </c>
      <c r="L27" s="26"/>
      <c r="M27" s="26"/>
      <c r="R27" s="167">
        <f t="shared" si="0"/>
        <v>2</v>
      </c>
      <c r="S27" s="167">
        <f t="shared" si="1"/>
        <v>2</v>
      </c>
      <c r="T27" s="167">
        <f t="shared" si="2"/>
        <v>16</v>
      </c>
    </row>
    <row r="28" spans="1:20" s="25" customFormat="1" ht="31.5" x14ac:dyDescent="0.15">
      <c r="A28" s="52" t="str">
        <f ca="1">IF(B28&lt;&gt;"",表紙!$AB$1&amp;"-"&amp;"結合-"&amp;TEXT($S$1,"00")&amp;"-"&amp;TEXT(R28,"00")&amp;"-"&amp;TEXT(S28,"00")&amp;"-"&amp;TEXT(T28,"０00"),"")</f>
        <v>線分-結合-01-02-02-017</v>
      </c>
      <c r="B28" s="26" t="s">
        <v>183</v>
      </c>
      <c r="C28" s="26" t="s">
        <v>184</v>
      </c>
      <c r="D28" s="26" t="s">
        <v>123</v>
      </c>
      <c r="E28" s="43" t="s">
        <v>185</v>
      </c>
      <c r="F28" s="43"/>
      <c r="G28" s="34" t="s">
        <v>319</v>
      </c>
      <c r="H28" s="34" t="s">
        <v>303</v>
      </c>
      <c r="I28" s="70">
        <v>44909</v>
      </c>
      <c r="J28" s="71" t="s">
        <v>551</v>
      </c>
      <c r="K28" s="72" t="s">
        <v>552</v>
      </c>
      <c r="L28" s="26"/>
      <c r="M28" s="26"/>
      <c r="R28" s="167">
        <f t="shared" si="0"/>
        <v>2</v>
      </c>
      <c r="S28" s="167">
        <f t="shared" si="1"/>
        <v>2</v>
      </c>
      <c r="T28" s="167">
        <f t="shared" si="2"/>
        <v>17</v>
      </c>
    </row>
    <row r="29" spans="1:20" s="25" customFormat="1" ht="31.5" x14ac:dyDescent="0.15">
      <c r="A29" s="52" t="str">
        <f ca="1">IF(B29&lt;&gt;"",表紙!$AB$1&amp;"-"&amp;"結合-"&amp;TEXT($S$1,"00")&amp;"-"&amp;TEXT(R29,"00")&amp;"-"&amp;TEXT(S29,"00")&amp;"-"&amp;TEXT(T29,"０00"),"")</f>
        <v>線分-結合-01-02-02-018</v>
      </c>
      <c r="B29" s="26" t="s">
        <v>183</v>
      </c>
      <c r="C29" s="26" t="s">
        <v>184</v>
      </c>
      <c r="D29" s="26" t="s">
        <v>124</v>
      </c>
      <c r="E29" s="43" t="s">
        <v>185</v>
      </c>
      <c r="F29" s="43"/>
      <c r="G29" s="34" t="s">
        <v>320</v>
      </c>
      <c r="H29" s="34" t="s">
        <v>303</v>
      </c>
      <c r="I29" s="70">
        <v>44909</v>
      </c>
      <c r="J29" s="71" t="s">
        <v>551</v>
      </c>
      <c r="K29" s="72" t="s">
        <v>552</v>
      </c>
      <c r="L29" s="26"/>
      <c r="M29" s="26"/>
      <c r="R29" s="167">
        <f t="shared" si="0"/>
        <v>2</v>
      </c>
      <c r="S29" s="167">
        <f t="shared" si="1"/>
        <v>2</v>
      </c>
      <c r="T29" s="167">
        <f t="shared" si="2"/>
        <v>18</v>
      </c>
    </row>
    <row r="30" spans="1:20" s="25" customFormat="1" ht="31.5" x14ac:dyDescent="0.15">
      <c r="A30" s="52" t="str">
        <f ca="1">IF(B30&lt;&gt;"",表紙!$AB$1&amp;"-"&amp;"結合-"&amp;TEXT($S$1,"00")&amp;"-"&amp;TEXT(R30,"00")&amp;"-"&amp;TEXT(S30,"00")&amp;"-"&amp;TEXT(T30,"０00"),"")</f>
        <v>線分-結合-01-02-02-019</v>
      </c>
      <c r="B30" s="26" t="s">
        <v>183</v>
      </c>
      <c r="C30" s="26" t="s">
        <v>184</v>
      </c>
      <c r="D30" s="26" t="s">
        <v>125</v>
      </c>
      <c r="E30" s="43" t="s">
        <v>185</v>
      </c>
      <c r="F30" s="43"/>
      <c r="G30" s="34" t="s">
        <v>321</v>
      </c>
      <c r="H30" s="34" t="s">
        <v>303</v>
      </c>
      <c r="I30" s="70">
        <v>44909</v>
      </c>
      <c r="J30" s="71" t="s">
        <v>551</v>
      </c>
      <c r="K30" s="72" t="s">
        <v>552</v>
      </c>
      <c r="L30" s="26"/>
      <c r="M30" s="26"/>
      <c r="R30" s="167">
        <f t="shared" si="0"/>
        <v>2</v>
      </c>
      <c r="S30" s="167">
        <f t="shared" si="1"/>
        <v>2</v>
      </c>
      <c r="T30" s="167">
        <f t="shared" si="2"/>
        <v>19</v>
      </c>
    </row>
    <row r="31" spans="1:20" s="25" customFormat="1" ht="31.5" x14ac:dyDescent="0.15">
      <c r="A31" s="52" t="str">
        <f ca="1">IF(B31&lt;&gt;"",表紙!$AB$1&amp;"-"&amp;"結合-"&amp;TEXT($S$1,"00")&amp;"-"&amp;TEXT(R31,"00")&amp;"-"&amp;TEXT(S31,"00")&amp;"-"&amp;TEXT(T31,"０00"),"")</f>
        <v>線分-結合-01-02-02-020</v>
      </c>
      <c r="B31" s="26" t="s">
        <v>183</v>
      </c>
      <c r="C31" s="26" t="s">
        <v>184</v>
      </c>
      <c r="D31" s="26" t="s">
        <v>126</v>
      </c>
      <c r="E31" s="43" t="s">
        <v>185</v>
      </c>
      <c r="F31" s="43"/>
      <c r="G31" s="34" t="s">
        <v>322</v>
      </c>
      <c r="H31" s="34" t="s">
        <v>303</v>
      </c>
      <c r="I31" s="70">
        <v>44909</v>
      </c>
      <c r="J31" s="71" t="s">
        <v>551</v>
      </c>
      <c r="K31" s="72" t="s">
        <v>552</v>
      </c>
      <c r="L31" s="26"/>
      <c r="M31" s="26"/>
      <c r="R31" s="167">
        <f t="shared" si="0"/>
        <v>2</v>
      </c>
      <c r="S31" s="167">
        <f t="shared" si="1"/>
        <v>2</v>
      </c>
      <c r="T31" s="167">
        <f t="shared" si="2"/>
        <v>20</v>
      </c>
    </row>
    <row r="32" spans="1:20" s="25" customFormat="1" ht="31.5" x14ac:dyDescent="0.15">
      <c r="A32" s="52" t="str">
        <f ca="1">IF(B32&lt;&gt;"",表紙!$AB$1&amp;"-"&amp;"結合-"&amp;TEXT($S$1,"00")&amp;"-"&amp;TEXT(R32,"00")&amp;"-"&amp;TEXT(S32,"00")&amp;"-"&amp;TEXT(T32,"０00"),"")</f>
        <v>線分-結合-01-02-02-021</v>
      </c>
      <c r="B32" s="26" t="s">
        <v>183</v>
      </c>
      <c r="C32" s="26" t="s">
        <v>184</v>
      </c>
      <c r="D32" s="26" t="s">
        <v>127</v>
      </c>
      <c r="E32" s="43" t="s">
        <v>185</v>
      </c>
      <c r="F32" s="43"/>
      <c r="G32" s="34" t="s">
        <v>323</v>
      </c>
      <c r="H32" s="34" t="s">
        <v>303</v>
      </c>
      <c r="I32" s="70">
        <v>44909</v>
      </c>
      <c r="J32" s="71" t="s">
        <v>551</v>
      </c>
      <c r="K32" s="72" t="s">
        <v>552</v>
      </c>
      <c r="L32" s="26"/>
      <c r="M32" s="26"/>
      <c r="R32" s="167">
        <f t="shared" si="0"/>
        <v>2</v>
      </c>
      <c r="S32" s="167">
        <f t="shared" si="1"/>
        <v>2</v>
      </c>
      <c r="T32" s="167">
        <f t="shared" si="2"/>
        <v>21</v>
      </c>
    </row>
    <row r="33" spans="1:20" s="25" customFormat="1" ht="31.5" x14ac:dyDescent="0.15">
      <c r="A33" s="52" t="str">
        <f ca="1">IF(B33&lt;&gt;"",表紙!$AB$1&amp;"-"&amp;"結合-"&amp;TEXT($S$1,"00")&amp;"-"&amp;TEXT(R33,"00")&amp;"-"&amp;TEXT(S33,"00")&amp;"-"&amp;TEXT(T33,"０00"),"")</f>
        <v>線分-結合-01-02-02-022</v>
      </c>
      <c r="B33" s="26" t="s">
        <v>183</v>
      </c>
      <c r="C33" s="26" t="s">
        <v>184</v>
      </c>
      <c r="D33" s="26" t="s">
        <v>128</v>
      </c>
      <c r="E33" s="43" t="s">
        <v>185</v>
      </c>
      <c r="F33" s="43"/>
      <c r="G33" s="34" t="s">
        <v>324</v>
      </c>
      <c r="H33" s="34" t="s">
        <v>303</v>
      </c>
      <c r="I33" s="70">
        <v>44909</v>
      </c>
      <c r="J33" s="71" t="s">
        <v>551</v>
      </c>
      <c r="K33" s="72" t="s">
        <v>552</v>
      </c>
      <c r="L33" s="26"/>
      <c r="M33" s="26"/>
      <c r="R33" s="167">
        <f t="shared" si="0"/>
        <v>2</v>
      </c>
      <c r="S33" s="167">
        <f t="shared" si="1"/>
        <v>2</v>
      </c>
      <c r="T33" s="167">
        <f t="shared" si="2"/>
        <v>22</v>
      </c>
    </row>
    <row r="34" spans="1:20" s="25" customFormat="1" ht="31.5" x14ac:dyDescent="0.15">
      <c r="A34" s="52" t="str">
        <f ca="1">IF(B34&lt;&gt;"",表紙!$AB$1&amp;"-"&amp;"結合-"&amp;TEXT($S$1,"00")&amp;"-"&amp;TEXT(R34,"00")&amp;"-"&amp;TEXT(S34,"00")&amp;"-"&amp;TEXT(T34,"０00"),"")</f>
        <v>線分-結合-01-02-02-023</v>
      </c>
      <c r="B34" s="26" t="s">
        <v>183</v>
      </c>
      <c r="C34" s="26" t="s">
        <v>184</v>
      </c>
      <c r="D34" s="26" t="s">
        <v>129</v>
      </c>
      <c r="E34" s="43" t="s">
        <v>185</v>
      </c>
      <c r="F34" s="43"/>
      <c r="G34" s="34" t="s">
        <v>325</v>
      </c>
      <c r="H34" s="34" t="s">
        <v>303</v>
      </c>
      <c r="I34" s="70">
        <v>44909</v>
      </c>
      <c r="J34" s="71" t="s">
        <v>551</v>
      </c>
      <c r="K34" s="72" t="s">
        <v>552</v>
      </c>
      <c r="L34" s="26"/>
      <c r="M34" s="26"/>
      <c r="R34" s="167">
        <f t="shared" si="0"/>
        <v>2</v>
      </c>
      <c r="S34" s="167">
        <f t="shared" si="1"/>
        <v>2</v>
      </c>
      <c r="T34" s="167">
        <f t="shared" si="2"/>
        <v>23</v>
      </c>
    </row>
    <row r="35" spans="1:20" s="25" customFormat="1" ht="31.5" x14ac:dyDescent="0.15">
      <c r="A35" s="52" t="str">
        <f ca="1">IF(B35&lt;&gt;"",表紙!$AB$1&amp;"-"&amp;"結合-"&amp;TEXT($S$1,"00")&amp;"-"&amp;TEXT(R35,"00")&amp;"-"&amp;TEXT(S35,"00")&amp;"-"&amp;TEXT(T35,"０00"),"")</f>
        <v>線分-結合-01-02-02-024</v>
      </c>
      <c r="B35" s="26" t="s">
        <v>183</v>
      </c>
      <c r="C35" s="26" t="s">
        <v>184</v>
      </c>
      <c r="D35" s="26" t="s">
        <v>130</v>
      </c>
      <c r="E35" s="43" t="s">
        <v>185</v>
      </c>
      <c r="F35" s="43"/>
      <c r="G35" s="34" t="s">
        <v>326</v>
      </c>
      <c r="H35" s="34" t="s">
        <v>303</v>
      </c>
      <c r="I35" s="70">
        <v>44909</v>
      </c>
      <c r="J35" s="71" t="s">
        <v>551</v>
      </c>
      <c r="K35" s="72" t="s">
        <v>552</v>
      </c>
      <c r="L35" s="26"/>
      <c r="M35" s="26"/>
      <c r="R35" s="167">
        <f t="shared" si="0"/>
        <v>2</v>
      </c>
      <c r="S35" s="167">
        <f t="shared" si="1"/>
        <v>2</v>
      </c>
      <c r="T35" s="167">
        <f t="shared" si="2"/>
        <v>24</v>
      </c>
    </row>
    <row r="36" spans="1:20" s="25" customFormat="1" ht="31.5" x14ac:dyDescent="0.15">
      <c r="A36" s="52" t="str">
        <f ca="1">IF(B36&lt;&gt;"",表紙!$AB$1&amp;"-"&amp;"結合-"&amp;TEXT($S$1,"00")&amp;"-"&amp;TEXT(R36,"00")&amp;"-"&amp;TEXT(S36,"00")&amp;"-"&amp;TEXT(T36,"０00"),"")</f>
        <v>線分-結合-01-02-02-025</v>
      </c>
      <c r="B36" s="26" t="s">
        <v>183</v>
      </c>
      <c r="C36" s="26" t="s">
        <v>184</v>
      </c>
      <c r="D36" s="26" t="s">
        <v>131</v>
      </c>
      <c r="E36" s="43" t="s">
        <v>185</v>
      </c>
      <c r="F36" s="43"/>
      <c r="G36" s="34" t="s">
        <v>327</v>
      </c>
      <c r="H36" s="34" t="s">
        <v>303</v>
      </c>
      <c r="I36" s="70">
        <v>44909</v>
      </c>
      <c r="J36" s="71" t="s">
        <v>551</v>
      </c>
      <c r="K36" s="72" t="s">
        <v>552</v>
      </c>
      <c r="L36" s="26"/>
      <c r="M36" s="26"/>
      <c r="R36" s="167">
        <f t="shared" si="0"/>
        <v>2</v>
      </c>
      <c r="S36" s="167">
        <f t="shared" si="1"/>
        <v>2</v>
      </c>
      <c r="T36" s="167">
        <f t="shared" si="2"/>
        <v>25</v>
      </c>
    </row>
    <row r="37" spans="1:20" s="25" customFormat="1" ht="31.5" x14ac:dyDescent="0.15">
      <c r="A37" s="52" t="str">
        <f ca="1">IF(B37&lt;&gt;"",表紙!$AB$1&amp;"-"&amp;"結合-"&amp;TEXT($S$1,"00")&amp;"-"&amp;TEXT(R37,"00")&amp;"-"&amp;TEXT(S37,"00")&amp;"-"&amp;TEXT(T37,"０00"),"")</f>
        <v>線分-結合-01-02-02-026</v>
      </c>
      <c r="B37" s="26" t="s">
        <v>183</v>
      </c>
      <c r="C37" s="26" t="s">
        <v>184</v>
      </c>
      <c r="D37" s="26" t="s">
        <v>132</v>
      </c>
      <c r="E37" s="43" t="s">
        <v>185</v>
      </c>
      <c r="F37" s="43"/>
      <c r="G37" s="34" t="s">
        <v>328</v>
      </c>
      <c r="H37" s="34" t="s">
        <v>303</v>
      </c>
      <c r="I37" s="70">
        <v>44909</v>
      </c>
      <c r="J37" s="71" t="s">
        <v>551</v>
      </c>
      <c r="K37" s="72" t="s">
        <v>552</v>
      </c>
      <c r="L37" s="26"/>
      <c r="M37" s="26"/>
      <c r="R37" s="167">
        <f t="shared" si="0"/>
        <v>2</v>
      </c>
      <c r="S37" s="167">
        <f t="shared" si="1"/>
        <v>2</v>
      </c>
      <c r="T37" s="167">
        <f t="shared" si="2"/>
        <v>26</v>
      </c>
    </row>
    <row r="38" spans="1:20" s="25" customFormat="1" ht="31.5" x14ac:dyDescent="0.15">
      <c r="A38" s="52" t="str">
        <f ca="1">IF(B38&lt;&gt;"",表紙!$AB$1&amp;"-"&amp;"結合-"&amp;TEXT($S$1,"00")&amp;"-"&amp;TEXT(R38,"00")&amp;"-"&amp;TEXT(S38,"00")&amp;"-"&amp;TEXT(T38,"０00"),"")</f>
        <v>線分-結合-01-02-02-027</v>
      </c>
      <c r="B38" s="26" t="s">
        <v>183</v>
      </c>
      <c r="C38" s="26" t="s">
        <v>184</v>
      </c>
      <c r="D38" s="26" t="s">
        <v>133</v>
      </c>
      <c r="E38" s="43" t="s">
        <v>185</v>
      </c>
      <c r="F38" s="43"/>
      <c r="G38" s="34" t="s">
        <v>329</v>
      </c>
      <c r="H38" s="34" t="s">
        <v>303</v>
      </c>
      <c r="I38" s="70">
        <v>44909</v>
      </c>
      <c r="J38" s="71" t="s">
        <v>551</v>
      </c>
      <c r="K38" s="72" t="s">
        <v>552</v>
      </c>
      <c r="L38" s="26"/>
      <c r="M38" s="26"/>
      <c r="R38" s="167">
        <f t="shared" si="0"/>
        <v>2</v>
      </c>
      <c r="S38" s="167">
        <f t="shared" si="1"/>
        <v>2</v>
      </c>
      <c r="T38" s="167">
        <f t="shared" si="2"/>
        <v>27</v>
      </c>
    </row>
    <row r="39" spans="1:20" s="25" customFormat="1" ht="31.5" x14ac:dyDescent="0.15">
      <c r="A39" s="52" t="str">
        <f ca="1">IF(B39&lt;&gt;"",表紙!$AB$1&amp;"-"&amp;"結合-"&amp;TEXT($S$1,"00")&amp;"-"&amp;TEXT(R39,"00")&amp;"-"&amp;TEXT(S39,"00")&amp;"-"&amp;TEXT(T39,"０00"),"")</f>
        <v>線分-結合-01-02-02-028</v>
      </c>
      <c r="B39" s="26" t="s">
        <v>183</v>
      </c>
      <c r="C39" s="26" t="s">
        <v>184</v>
      </c>
      <c r="D39" s="26" t="s">
        <v>134</v>
      </c>
      <c r="E39" s="43" t="s">
        <v>185</v>
      </c>
      <c r="F39" s="43"/>
      <c r="G39" s="34" t="s">
        <v>330</v>
      </c>
      <c r="H39" s="34" t="s">
        <v>303</v>
      </c>
      <c r="I39" s="70">
        <v>44909</v>
      </c>
      <c r="J39" s="71" t="s">
        <v>551</v>
      </c>
      <c r="K39" s="72" t="s">
        <v>552</v>
      </c>
      <c r="L39" s="26"/>
      <c r="M39" s="26"/>
      <c r="R39" s="167">
        <f t="shared" si="0"/>
        <v>2</v>
      </c>
      <c r="S39" s="167">
        <f t="shared" si="1"/>
        <v>2</v>
      </c>
      <c r="T39" s="167">
        <f t="shared" si="2"/>
        <v>28</v>
      </c>
    </row>
    <row r="40" spans="1:20" s="25" customFormat="1" ht="31.5" x14ac:dyDescent="0.15">
      <c r="A40" s="52" t="str">
        <f ca="1">IF(B40&lt;&gt;"",表紙!$AB$1&amp;"-"&amp;"結合-"&amp;TEXT($S$1,"00")&amp;"-"&amp;TEXT(R40,"00")&amp;"-"&amp;TEXT(S40,"00")&amp;"-"&amp;TEXT(T40,"０00"),"")</f>
        <v>線分-結合-01-02-02-029</v>
      </c>
      <c r="B40" s="26" t="s">
        <v>183</v>
      </c>
      <c r="C40" s="26" t="s">
        <v>184</v>
      </c>
      <c r="D40" s="26" t="s">
        <v>135</v>
      </c>
      <c r="E40" s="43" t="s">
        <v>185</v>
      </c>
      <c r="F40" s="43"/>
      <c r="G40" s="34" t="s">
        <v>331</v>
      </c>
      <c r="H40" s="34" t="s">
        <v>303</v>
      </c>
      <c r="I40" s="70">
        <v>44909</v>
      </c>
      <c r="J40" s="71" t="s">
        <v>551</v>
      </c>
      <c r="K40" s="72" t="s">
        <v>552</v>
      </c>
      <c r="L40" s="26"/>
      <c r="M40" s="26"/>
      <c r="R40" s="167">
        <f t="shared" si="0"/>
        <v>2</v>
      </c>
      <c r="S40" s="167">
        <f t="shared" si="1"/>
        <v>2</v>
      </c>
      <c r="T40" s="167">
        <f t="shared" si="2"/>
        <v>29</v>
      </c>
    </row>
    <row r="41" spans="1:20" s="25" customFormat="1" ht="31.5" x14ac:dyDescent="0.15">
      <c r="A41" s="52" t="str">
        <f ca="1">IF(B41&lt;&gt;"",表紙!$AB$1&amp;"-"&amp;"結合-"&amp;TEXT($S$1,"00")&amp;"-"&amp;TEXT(R41,"00")&amp;"-"&amp;TEXT(S41,"00")&amp;"-"&amp;TEXT(T41,"０00"),"")</f>
        <v>線分-結合-01-02-02-030</v>
      </c>
      <c r="B41" s="26" t="s">
        <v>183</v>
      </c>
      <c r="C41" s="26" t="s">
        <v>184</v>
      </c>
      <c r="D41" s="26" t="s">
        <v>136</v>
      </c>
      <c r="E41" s="43" t="s">
        <v>185</v>
      </c>
      <c r="F41" s="43"/>
      <c r="G41" s="34" t="s">
        <v>332</v>
      </c>
      <c r="H41" s="34" t="s">
        <v>303</v>
      </c>
      <c r="I41" s="70">
        <v>44909</v>
      </c>
      <c r="J41" s="71" t="s">
        <v>551</v>
      </c>
      <c r="K41" s="72" t="s">
        <v>552</v>
      </c>
      <c r="L41" s="26"/>
      <c r="M41" s="26"/>
      <c r="R41" s="167">
        <f t="shared" si="0"/>
        <v>2</v>
      </c>
      <c r="S41" s="167">
        <f t="shared" si="1"/>
        <v>2</v>
      </c>
      <c r="T41" s="167">
        <f t="shared" si="2"/>
        <v>30</v>
      </c>
    </row>
    <row r="42" spans="1:20" s="25" customFormat="1" ht="31.5" x14ac:dyDescent="0.15">
      <c r="A42" s="52" t="str">
        <f ca="1">IF(B42&lt;&gt;"",表紙!$AB$1&amp;"-"&amp;"結合-"&amp;TEXT($S$1,"00")&amp;"-"&amp;TEXT(R42,"00")&amp;"-"&amp;TEXT(S42,"00")&amp;"-"&amp;TEXT(T42,"０00"),"")</f>
        <v>線分-結合-01-02-02-031</v>
      </c>
      <c r="B42" s="26" t="s">
        <v>183</v>
      </c>
      <c r="C42" s="26" t="s">
        <v>184</v>
      </c>
      <c r="D42" s="26" t="s">
        <v>137</v>
      </c>
      <c r="E42" s="43" t="s">
        <v>185</v>
      </c>
      <c r="F42" s="43"/>
      <c r="G42" s="34" t="s">
        <v>333</v>
      </c>
      <c r="H42" s="34" t="s">
        <v>303</v>
      </c>
      <c r="I42" s="70">
        <v>44909</v>
      </c>
      <c r="J42" s="71" t="s">
        <v>551</v>
      </c>
      <c r="K42" s="72" t="s">
        <v>552</v>
      </c>
      <c r="L42" s="26"/>
      <c r="M42" s="26"/>
      <c r="R42" s="167">
        <f t="shared" si="0"/>
        <v>2</v>
      </c>
      <c r="S42" s="167">
        <f t="shared" si="1"/>
        <v>2</v>
      </c>
      <c r="T42" s="167">
        <f t="shared" si="2"/>
        <v>31</v>
      </c>
    </row>
    <row r="43" spans="1:20" s="25" customFormat="1" ht="31.5" x14ac:dyDescent="0.15">
      <c r="A43" s="52" t="str">
        <f ca="1">IF(B43&lt;&gt;"",表紙!$AB$1&amp;"-"&amp;"結合-"&amp;TEXT($S$1,"00")&amp;"-"&amp;TEXT(R43,"00")&amp;"-"&amp;TEXT(S43,"00")&amp;"-"&amp;TEXT(T43,"０00"),"")</f>
        <v>線分-結合-01-02-02-032</v>
      </c>
      <c r="B43" s="26" t="s">
        <v>183</v>
      </c>
      <c r="C43" s="26" t="s">
        <v>184</v>
      </c>
      <c r="D43" s="26" t="s">
        <v>138</v>
      </c>
      <c r="E43" s="43" t="s">
        <v>185</v>
      </c>
      <c r="F43" s="43"/>
      <c r="G43" s="34" t="s">
        <v>334</v>
      </c>
      <c r="H43" s="34" t="s">
        <v>303</v>
      </c>
      <c r="I43" s="70">
        <v>44909</v>
      </c>
      <c r="J43" s="71" t="s">
        <v>551</v>
      </c>
      <c r="K43" s="72" t="s">
        <v>552</v>
      </c>
      <c r="L43" s="26"/>
      <c r="M43" s="26"/>
      <c r="R43" s="167">
        <f t="shared" si="0"/>
        <v>2</v>
      </c>
      <c r="S43" s="167">
        <f t="shared" si="1"/>
        <v>2</v>
      </c>
      <c r="T43" s="167">
        <f t="shared" si="2"/>
        <v>32</v>
      </c>
    </row>
    <row r="44" spans="1:20" s="25" customFormat="1" ht="31.5" x14ac:dyDescent="0.15">
      <c r="A44" s="52" t="str">
        <f ca="1">IF(B44&lt;&gt;"",表紙!$AB$1&amp;"-"&amp;"結合-"&amp;TEXT($S$1,"00")&amp;"-"&amp;TEXT(R44,"00")&amp;"-"&amp;TEXT(S44,"00")&amp;"-"&amp;TEXT(T44,"０00"),"")</f>
        <v>線分-結合-01-02-02-033</v>
      </c>
      <c r="B44" s="26" t="s">
        <v>183</v>
      </c>
      <c r="C44" s="26" t="s">
        <v>184</v>
      </c>
      <c r="D44" s="26" t="s">
        <v>139</v>
      </c>
      <c r="E44" s="43" t="s">
        <v>185</v>
      </c>
      <c r="F44" s="43"/>
      <c r="G44" s="34" t="s">
        <v>335</v>
      </c>
      <c r="H44" s="34" t="s">
        <v>303</v>
      </c>
      <c r="I44" s="70">
        <v>44909</v>
      </c>
      <c r="J44" s="71" t="s">
        <v>551</v>
      </c>
      <c r="K44" s="72" t="s">
        <v>552</v>
      </c>
      <c r="L44" s="26"/>
      <c r="M44" s="26"/>
      <c r="R44" s="167">
        <f t="shared" si="0"/>
        <v>2</v>
      </c>
      <c r="S44" s="167">
        <f t="shared" si="1"/>
        <v>2</v>
      </c>
      <c r="T44" s="167">
        <f t="shared" si="2"/>
        <v>33</v>
      </c>
    </row>
    <row r="45" spans="1:20" s="25" customFormat="1" ht="31.5" x14ac:dyDescent="0.15">
      <c r="A45" s="52" t="str">
        <f ca="1">IF(B45&lt;&gt;"",表紙!$AB$1&amp;"-"&amp;"結合-"&amp;TEXT($S$1,"00")&amp;"-"&amp;TEXT(R45,"00")&amp;"-"&amp;TEXT(S45,"00")&amp;"-"&amp;TEXT(T45,"０00"),"")</f>
        <v>線分-結合-01-02-02-034</v>
      </c>
      <c r="B45" s="26" t="s">
        <v>183</v>
      </c>
      <c r="C45" s="26" t="s">
        <v>184</v>
      </c>
      <c r="D45" s="26" t="s">
        <v>140</v>
      </c>
      <c r="E45" s="43" t="s">
        <v>185</v>
      </c>
      <c r="F45" s="43"/>
      <c r="G45" s="34" t="s">
        <v>336</v>
      </c>
      <c r="H45" s="34" t="s">
        <v>303</v>
      </c>
      <c r="I45" s="70">
        <v>44910</v>
      </c>
      <c r="J45" s="71" t="s">
        <v>551</v>
      </c>
      <c r="K45" s="72" t="s">
        <v>552</v>
      </c>
      <c r="L45" s="26"/>
      <c r="M45" s="26"/>
      <c r="R45" s="167">
        <f t="shared" si="0"/>
        <v>2</v>
      </c>
      <c r="S45" s="167">
        <f t="shared" si="1"/>
        <v>2</v>
      </c>
      <c r="T45" s="167">
        <f t="shared" si="2"/>
        <v>34</v>
      </c>
    </row>
    <row r="46" spans="1:20" s="25" customFormat="1" ht="31.5" x14ac:dyDescent="0.15">
      <c r="A46" s="52" t="str">
        <f ca="1">IF(B46&lt;&gt;"",表紙!$AB$1&amp;"-"&amp;"結合-"&amp;TEXT($S$1,"00")&amp;"-"&amp;TEXT(R46,"00")&amp;"-"&amp;TEXT(S46,"00")&amp;"-"&amp;TEXT(T46,"０00"),"")</f>
        <v>線分-結合-01-02-02-035</v>
      </c>
      <c r="B46" s="26" t="s">
        <v>183</v>
      </c>
      <c r="C46" s="26" t="s">
        <v>184</v>
      </c>
      <c r="D46" s="26" t="s">
        <v>141</v>
      </c>
      <c r="E46" s="43" t="s">
        <v>185</v>
      </c>
      <c r="F46" s="43"/>
      <c r="G46" s="34" t="s">
        <v>337</v>
      </c>
      <c r="H46" s="34" t="s">
        <v>303</v>
      </c>
      <c r="I46" s="70">
        <v>44910</v>
      </c>
      <c r="J46" s="71" t="s">
        <v>551</v>
      </c>
      <c r="K46" s="72" t="s">
        <v>552</v>
      </c>
      <c r="L46" s="26"/>
      <c r="M46" s="26"/>
      <c r="R46" s="167">
        <f t="shared" si="0"/>
        <v>2</v>
      </c>
      <c r="S46" s="167">
        <f t="shared" si="1"/>
        <v>2</v>
      </c>
      <c r="T46" s="167">
        <f t="shared" si="2"/>
        <v>35</v>
      </c>
    </row>
    <row r="47" spans="1:20" s="25" customFormat="1" ht="31.5" x14ac:dyDescent="0.15">
      <c r="A47" s="52" t="str">
        <f ca="1">IF(B47&lt;&gt;"",表紙!$AB$1&amp;"-"&amp;"結合-"&amp;TEXT($S$1,"00")&amp;"-"&amp;TEXT(R47,"00")&amp;"-"&amp;TEXT(S47,"00")&amp;"-"&amp;TEXT(T47,"０00"),"")</f>
        <v>線分-結合-01-02-02-036</v>
      </c>
      <c r="B47" s="26" t="s">
        <v>183</v>
      </c>
      <c r="C47" s="26" t="s">
        <v>184</v>
      </c>
      <c r="D47" s="26" t="s">
        <v>142</v>
      </c>
      <c r="E47" s="43" t="s">
        <v>185</v>
      </c>
      <c r="F47" s="43"/>
      <c r="G47" s="34" t="s">
        <v>338</v>
      </c>
      <c r="H47" s="34" t="s">
        <v>303</v>
      </c>
      <c r="I47" s="70">
        <v>44910</v>
      </c>
      <c r="J47" s="71" t="s">
        <v>551</v>
      </c>
      <c r="K47" s="72" t="s">
        <v>552</v>
      </c>
      <c r="L47" s="26"/>
      <c r="M47" s="26"/>
      <c r="R47" s="167">
        <f t="shared" si="0"/>
        <v>2</v>
      </c>
      <c r="S47" s="167">
        <f t="shared" si="1"/>
        <v>2</v>
      </c>
      <c r="T47" s="167">
        <f t="shared" si="2"/>
        <v>36</v>
      </c>
    </row>
    <row r="48" spans="1:20" s="25" customFormat="1" ht="31.5" x14ac:dyDescent="0.15">
      <c r="A48" s="52" t="str">
        <f ca="1">IF(B48&lt;&gt;"",表紙!$AB$1&amp;"-"&amp;"結合-"&amp;TEXT($S$1,"00")&amp;"-"&amp;TEXT(R48,"00")&amp;"-"&amp;TEXT(S48,"00")&amp;"-"&amp;TEXT(T48,"０00"),"")</f>
        <v>線分-結合-01-02-02-037</v>
      </c>
      <c r="B48" s="26" t="s">
        <v>183</v>
      </c>
      <c r="C48" s="26" t="s">
        <v>184</v>
      </c>
      <c r="D48" s="26" t="s">
        <v>143</v>
      </c>
      <c r="E48" s="43" t="s">
        <v>185</v>
      </c>
      <c r="F48" s="43"/>
      <c r="G48" s="34" t="s">
        <v>339</v>
      </c>
      <c r="H48" s="34" t="s">
        <v>303</v>
      </c>
      <c r="I48" s="70">
        <v>44910</v>
      </c>
      <c r="J48" s="71" t="s">
        <v>551</v>
      </c>
      <c r="K48" s="72" t="s">
        <v>552</v>
      </c>
      <c r="L48" s="26"/>
      <c r="M48" s="26"/>
      <c r="R48" s="167">
        <f t="shared" si="0"/>
        <v>2</v>
      </c>
      <c r="S48" s="167">
        <f t="shared" si="1"/>
        <v>2</v>
      </c>
      <c r="T48" s="167">
        <f t="shared" si="2"/>
        <v>37</v>
      </c>
    </row>
    <row r="49" spans="1:20" s="25" customFormat="1" ht="31.5" x14ac:dyDescent="0.15">
      <c r="A49" s="52" t="str">
        <f ca="1">IF(B49&lt;&gt;"",表紙!$AB$1&amp;"-"&amp;"結合-"&amp;TEXT($S$1,"00")&amp;"-"&amp;TEXT(R49,"00")&amp;"-"&amp;TEXT(S49,"00")&amp;"-"&amp;TEXT(T49,"０00"),"")</f>
        <v>線分-結合-01-02-02-038</v>
      </c>
      <c r="B49" s="26" t="s">
        <v>183</v>
      </c>
      <c r="C49" s="26" t="s">
        <v>184</v>
      </c>
      <c r="D49" s="26" t="s">
        <v>144</v>
      </c>
      <c r="E49" s="43" t="s">
        <v>185</v>
      </c>
      <c r="F49" s="43"/>
      <c r="G49" s="34" t="s">
        <v>340</v>
      </c>
      <c r="H49" s="34" t="s">
        <v>303</v>
      </c>
      <c r="I49" s="70">
        <v>44910</v>
      </c>
      <c r="J49" s="71" t="s">
        <v>551</v>
      </c>
      <c r="K49" s="72" t="s">
        <v>552</v>
      </c>
      <c r="L49" s="26"/>
      <c r="M49" s="26"/>
      <c r="R49" s="167">
        <f t="shared" si="0"/>
        <v>2</v>
      </c>
      <c r="S49" s="167">
        <f t="shared" si="1"/>
        <v>2</v>
      </c>
      <c r="T49" s="167">
        <f t="shared" si="2"/>
        <v>38</v>
      </c>
    </row>
    <row r="50" spans="1:20" s="25" customFormat="1" ht="31.5" x14ac:dyDescent="0.15">
      <c r="A50" s="52" t="str">
        <f ca="1">IF(B50&lt;&gt;"",表紙!$AB$1&amp;"-"&amp;"結合-"&amp;TEXT($S$1,"00")&amp;"-"&amp;TEXT(R50,"00")&amp;"-"&amp;TEXT(S50,"00")&amp;"-"&amp;TEXT(T50,"０00"),"")</f>
        <v>線分-結合-01-02-02-039</v>
      </c>
      <c r="B50" s="26" t="s">
        <v>183</v>
      </c>
      <c r="C50" s="26" t="s">
        <v>184</v>
      </c>
      <c r="D50" s="26" t="s">
        <v>145</v>
      </c>
      <c r="E50" s="43" t="s">
        <v>185</v>
      </c>
      <c r="F50" s="43"/>
      <c r="G50" s="34" t="s">
        <v>341</v>
      </c>
      <c r="H50" s="34" t="s">
        <v>303</v>
      </c>
      <c r="I50" s="70">
        <v>44910</v>
      </c>
      <c r="J50" s="71" t="s">
        <v>551</v>
      </c>
      <c r="K50" s="72" t="s">
        <v>552</v>
      </c>
      <c r="L50" s="26"/>
      <c r="M50" s="26"/>
      <c r="R50" s="167">
        <f t="shared" si="0"/>
        <v>2</v>
      </c>
      <c r="S50" s="167">
        <f t="shared" si="1"/>
        <v>2</v>
      </c>
      <c r="T50" s="167">
        <f t="shared" si="2"/>
        <v>39</v>
      </c>
    </row>
    <row r="51" spans="1:20" s="25" customFormat="1" ht="31.5" x14ac:dyDescent="0.15">
      <c r="A51" s="52" t="str">
        <f ca="1">IF(B51&lt;&gt;"",表紙!$AB$1&amp;"-"&amp;"結合-"&amp;TEXT($S$1,"00")&amp;"-"&amp;TEXT(R51,"00")&amp;"-"&amp;TEXT(S51,"00")&amp;"-"&amp;TEXT(T51,"０00"),"")</f>
        <v>線分-結合-01-02-02-040</v>
      </c>
      <c r="B51" s="26" t="s">
        <v>183</v>
      </c>
      <c r="C51" s="26" t="s">
        <v>184</v>
      </c>
      <c r="D51" s="26" t="s">
        <v>146</v>
      </c>
      <c r="E51" s="43" t="s">
        <v>185</v>
      </c>
      <c r="F51" s="43"/>
      <c r="G51" s="34" t="s">
        <v>342</v>
      </c>
      <c r="H51" s="34" t="s">
        <v>303</v>
      </c>
      <c r="I51" s="70">
        <v>44910</v>
      </c>
      <c r="J51" s="71" t="s">
        <v>551</v>
      </c>
      <c r="K51" s="72" t="s">
        <v>552</v>
      </c>
      <c r="L51" s="26"/>
      <c r="M51" s="26"/>
      <c r="R51" s="167">
        <f t="shared" si="0"/>
        <v>2</v>
      </c>
      <c r="S51" s="167">
        <f t="shared" si="1"/>
        <v>2</v>
      </c>
      <c r="T51" s="167">
        <f t="shared" si="2"/>
        <v>40</v>
      </c>
    </row>
    <row r="52" spans="1:20" s="25" customFormat="1" ht="31.5" x14ac:dyDescent="0.15">
      <c r="A52" s="52" t="str">
        <f ca="1">IF(B52&lt;&gt;"",表紙!$AB$1&amp;"-"&amp;"結合-"&amp;TEXT($S$1,"00")&amp;"-"&amp;TEXT(R52,"00")&amp;"-"&amp;TEXT(S52,"00")&amp;"-"&amp;TEXT(T52,"０00"),"")</f>
        <v>線分-結合-01-02-02-041</v>
      </c>
      <c r="B52" s="26" t="s">
        <v>183</v>
      </c>
      <c r="C52" s="26" t="s">
        <v>184</v>
      </c>
      <c r="D52" s="26" t="s">
        <v>147</v>
      </c>
      <c r="E52" s="43" t="s">
        <v>185</v>
      </c>
      <c r="F52" s="43"/>
      <c r="G52" s="34" t="s">
        <v>343</v>
      </c>
      <c r="H52" s="34" t="s">
        <v>303</v>
      </c>
      <c r="I52" s="70">
        <v>44910</v>
      </c>
      <c r="J52" s="71" t="s">
        <v>551</v>
      </c>
      <c r="K52" s="72" t="s">
        <v>552</v>
      </c>
      <c r="L52" s="26"/>
      <c r="M52" s="26"/>
      <c r="R52" s="167">
        <f t="shared" si="0"/>
        <v>2</v>
      </c>
      <c r="S52" s="167">
        <f t="shared" si="1"/>
        <v>2</v>
      </c>
      <c r="T52" s="167">
        <f t="shared" si="2"/>
        <v>41</v>
      </c>
    </row>
    <row r="53" spans="1:20" s="25" customFormat="1" ht="31.5" x14ac:dyDescent="0.15">
      <c r="A53" s="52" t="str">
        <f ca="1">IF(B53&lt;&gt;"",表紙!$AB$1&amp;"-"&amp;"結合-"&amp;TEXT($S$1,"00")&amp;"-"&amp;TEXT(R53,"00")&amp;"-"&amp;TEXT(S53,"00")&amp;"-"&amp;TEXT(T53,"０00"),"")</f>
        <v>線分-結合-01-02-02-042</v>
      </c>
      <c r="B53" s="26" t="s">
        <v>183</v>
      </c>
      <c r="C53" s="26" t="s">
        <v>184</v>
      </c>
      <c r="D53" s="26" t="s">
        <v>148</v>
      </c>
      <c r="E53" s="43" t="s">
        <v>185</v>
      </c>
      <c r="F53" s="43"/>
      <c r="G53" s="34" t="s">
        <v>344</v>
      </c>
      <c r="H53" s="34" t="s">
        <v>303</v>
      </c>
      <c r="I53" s="70">
        <v>44910</v>
      </c>
      <c r="J53" s="71" t="s">
        <v>551</v>
      </c>
      <c r="K53" s="72" t="s">
        <v>552</v>
      </c>
      <c r="L53" s="26"/>
      <c r="M53" s="26"/>
      <c r="R53" s="167">
        <f t="shared" si="0"/>
        <v>2</v>
      </c>
      <c r="S53" s="167">
        <f t="shared" si="1"/>
        <v>2</v>
      </c>
      <c r="T53" s="167">
        <f t="shared" si="2"/>
        <v>42</v>
      </c>
    </row>
    <row r="54" spans="1:20" s="25" customFormat="1" ht="31.5" x14ac:dyDescent="0.15">
      <c r="A54" s="52" t="str">
        <f ca="1">IF(B54&lt;&gt;"",表紙!$AB$1&amp;"-"&amp;"結合-"&amp;TEXT($S$1,"00")&amp;"-"&amp;TEXT(R54,"00")&amp;"-"&amp;TEXT(S54,"00")&amp;"-"&amp;TEXT(T54,"０00"),"")</f>
        <v>線分-結合-01-02-02-043</v>
      </c>
      <c r="B54" s="26" t="s">
        <v>183</v>
      </c>
      <c r="C54" s="26" t="s">
        <v>184</v>
      </c>
      <c r="D54" s="26" t="s">
        <v>149</v>
      </c>
      <c r="E54" s="43" t="s">
        <v>185</v>
      </c>
      <c r="F54" s="43"/>
      <c r="G54" s="34" t="s">
        <v>345</v>
      </c>
      <c r="H54" s="34" t="s">
        <v>303</v>
      </c>
      <c r="I54" s="70">
        <v>44910</v>
      </c>
      <c r="J54" s="71" t="s">
        <v>551</v>
      </c>
      <c r="K54" s="72" t="s">
        <v>552</v>
      </c>
      <c r="L54" s="26"/>
      <c r="M54" s="26"/>
      <c r="R54" s="167">
        <f t="shared" si="0"/>
        <v>2</v>
      </c>
      <c r="S54" s="167">
        <f t="shared" si="1"/>
        <v>2</v>
      </c>
      <c r="T54" s="167">
        <f t="shared" si="2"/>
        <v>43</v>
      </c>
    </row>
    <row r="55" spans="1:20" s="25" customFormat="1" ht="31.5" x14ac:dyDescent="0.15">
      <c r="A55" s="52" t="str">
        <f ca="1">IF(B55&lt;&gt;"",表紙!$AB$1&amp;"-"&amp;"結合-"&amp;TEXT($S$1,"00")&amp;"-"&amp;TEXT(R55,"00")&amp;"-"&amp;TEXT(S55,"00")&amp;"-"&amp;TEXT(T55,"０00"),"")</f>
        <v>線分-結合-01-02-02-044</v>
      </c>
      <c r="B55" s="26" t="s">
        <v>183</v>
      </c>
      <c r="C55" s="26" t="s">
        <v>184</v>
      </c>
      <c r="D55" s="26" t="s">
        <v>150</v>
      </c>
      <c r="E55" s="43" t="s">
        <v>185</v>
      </c>
      <c r="F55" s="43"/>
      <c r="G55" s="34" t="s">
        <v>346</v>
      </c>
      <c r="H55" s="34" t="s">
        <v>303</v>
      </c>
      <c r="I55" s="70">
        <v>44910</v>
      </c>
      <c r="J55" s="71" t="s">
        <v>551</v>
      </c>
      <c r="K55" s="72" t="s">
        <v>552</v>
      </c>
      <c r="L55" s="26"/>
      <c r="M55" s="26"/>
      <c r="R55" s="167">
        <f t="shared" si="0"/>
        <v>2</v>
      </c>
      <c r="S55" s="167">
        <f t="shared" si="1"/>
        <v>2</v>
      </c>
      <c r="T55" s="167">
        <f t="shared" si="2"/>
        <v>44</v>
      </c>
    </row>
    <row r="56" spans="1:20" s="25" customFormat="1" ht="31.5" x14ac:dyDescent="0.15">
      <c r="A56" s="52" t="str">
        <f ca="1">IF(B56&lt;&gt;"",表紙!$AB$1&amp;"-"&amp;"結合-"&amp;TEXT($S$1,"00")&amp;"-"&amp;TEXT(R56,"00")&amp;"-"&amp;TEXT(S56,"00")&amp;"-"&amp;TEXT(T56,"０00"),"")</f>
        <v>線分-結合-01-02-02-045</v>
      </c>
      <c r="B56" s="26" t="s">
        <v>183</v>
      </c>
      <c r="C56" s="26" t="s">
        <v>184</v>
      </c>
      <c r="D56" s="26" t="s">
        <v>151</v>
      </c>
      <c r="E56" s="43" t="s">
        <v>185</v>
      </c>
      <c r="F56" s="43"/>
      <c r="G56" s="34" t="s">
        <v>347</v>
      </c>
      <c r="H56" s="34" t="s">
        <v>303</v>
      </c>
      <c r="I56" s="70">
        <v>44910</v>
      </c>
      <c r="J56" s="71" t="s">
        <v>551</v>
      </c>
      <c r="K56" s="72" t="s">
        <v>552</v>
      </c>
      <c r="L56" s="26"/>
      <c r="M56" s="26"/>
      <c r="R56" s="167">
        <f t="shared" si="0"/>
        <v>2</v>
      </c>
      <c r="S56" s="167">
        <f t="shared" si="1"/>
        <v>2</v>
      </c>
      <c r="T56" s="167">
        <f t="shared" si="2"/>
        <v>45</v>
      </c>
    </row>
    <row r="57" spans="1:20" s="25" customFormat="1" ht="31.5" x14ac:dyDescent="0.15">
      <c r="A57" s="52" t="str">
        <f ca="1">IF(B57&lt;&gt;"",表紙!$AB$1&amp;"-"&amp;"結合-"&amp;TEXT($S$1,"00")&amp;"-"&amp;TEXT(R57,"00")&amp;"-"&amp;TEXT(S57,"00")&amp;"-"&amp;TEXT(T57,"０00"),"")</f>
        <v>線分-結合-01-02-02-046</v>
      </c>
      <c r="B57" s="26" t="s">
        <v>183</v>
      </c>
      <c r="C57" s="26" t="s">
        <v>184</v>
      </c>
      <c r="D57" s="26" t="s">
        <v>152</v>
      </c>
      <c r="E57" s="43" t="s">
        <v>185</v>
      </c>
      <c r="F57" s="43"/>
      <c r="G57" s="34" t="s">
        <v>348</v>
      </c>
      <c r="H57" s="34" t="s">
        <v>303</v>
      </c>
      <c r="I57" s="70">
        <v>44910</v>
      </c>
      <c r="J57" s="71" t="s">
        <v>551</v>
      </c>
      <c r="K57" s="72" t="s">
        <v>552</v>
      </c>
      <c r="L57" s="26"/>
      <c r="M57" s="26"/>
      <c r="R57" s="167">
        <f t="shared" si="0"/>
        <v>2</v>
      </c>
      <c r="S57" s="167">
        <f t="shared" si="1"/>
        <v>2</v>
      </c>
      <c r="T57" s="167">
        <f t="shared" si="2"/>
        <v>46</v>
      </c>
    </row>
    <row r="58" spans="1:20" s="25" customFormat="1" ht="31.5" x14ac:dyDescent="0.15">
      <c r="A58" s="52" t="str">
        <f ca="1">IF(B58&lt;&gt;"",表紙!$AB$1&amp;"-"&amp;"結合-"&amp;TEXT($S$1,"00")&amp;"-"&amp;TEXT(R58,"00")&amp;"-"&amp;TEXT(S58,"00")&amp;"-"&amp;TEXT(T58,"０00"),"")</f>
        <v>線分-結合-01-02-02-047</v>
      </c>
      <c r="B58" s="26" t="s">
        <v>183</v>
      </c>
      <c r="C58" s="26" t="s">
        <v>184</v>
      </c>
      <c r="D58" s="26" t="s">
        <v>153</v>
      </c>
      <c r="E58" s="43" t="s">
        <v>185</v>
      </c>
      <c r="F58" s="43"/>
      <c r="G58" s="34" t="s">
        <v>349</v>
      </c>
      <c r="H58" s="34" t="s">
        <v>303</v>
      </c>
      <c r="I58" s="70">
        <v>44910</v>
      </c>
      <c r="J58" s="71" t="s">
        <v>551</v>
      </c>
      <c r="K58" s="72" t="s">
        <v>552</v>
      </c>
      <c r="L58" s="26"/>
      <c r="M58" s="26"/>
      <c r="R58" s="167">
        <f t="shared" si="0"/>
        <v>2</v>
      </c>
      <c r="S58" s="167">
        <f t="shared" si="1"/>
        <v>2</v>
      </c>
      <c r="T58" s="167">
        <f t="shared" si="2"/>
        <v>47</v>
      </c>
    </row>
    <row r="59" spans="1:20" s="25" customFormat="1" ht="31.5" x14ac:dyDescent="0.15">
      <c r="A59" s="52" t="str">
        <f ca="1">IF(B59&lt;&gt;"",表紙!$AB$1&amp;"-"&amp;"結合-"&amp;TEXT($S$1,"00")&amp;"-"&amp;TEXT(R59,"00")&amp;"-"&amp;TEXT(S59,"00")&amp;"-"&amp;TEXT(T59,"０00"),"")</f>
        <v>線分-結合-01-02-02-048</v>
      </c>
      <c r="B59" s="26" t="s">
        <v>183</v>
      </c>
      <c r="C59" s="26" t="s">
        <v>184</v>
      </c>
      <c r="D59" s="26" t="s">
        <v>154</v>
      </c>
      <c r="E59" s="43" t="s">
        <v>185</v>
      </c>
      <c r="F59" s="43"/>
      <c r="G59" s="34" t="s">
        <v>350</v>
      </c>
      <c r="H59" s="34" t="s">
        <v>303</v>
      </c>
      <c r="I59" s="70">
        <v>44910</v>
      </c>
      <c r="J59" s="71" t="s">
        <v>551</v>
      </c>
      <c r="K59" s="72" t="s">
        <v>552</v>
      </c>
      <c r="L59" s="26"/>
      <c r="M59" s="26"/>
      <c r="R59" s="167">
        <f t="shared" si="0"/>
        <v>2</v>
      </c>
      <c r="S59" s="167">
        <f t="shared" si="1"/>
        <v>2</v>
      </c>
      <c r="T59" s="167">
        <f t="shared" si="2"/>
        <v>48</v>
      </c>
    </row>
    <row r="60" spans="1:20" s="25" customFormat="1" ht="31.5" x14ac:dyDescent="0.15">
      <c r="A60" s="52" t="str">
        <f ca="1">IF(B60&lt;&gt;"",表紙!$AB$1&amp;"-"&amp;"結合-"&amp;TEXT($S$1,"00")&amp;"-"&amp;TEXT(R60,"00")&amp;"-"&amp;TEXT(S60,"00")&amp;"-"&amp;TEXT(T60,"０00"),"")</f>
        <v>線分-結合-01-02-02-049</v>
      </c>
      <c r="B60" s="26" t="s">
        <v>183</v>
      </c>
      <c r="C60" s="26" t="s">
        <v>184</v>
      </c>
      <c r="D60" s="26" t="s">
        <v>155</v>
      </c>
      <c r="E60" s="43" t="s">
        <v>185</v>
      </c>
      <c r="F60" s="43"/>
      <c r="G60" s="34" t="s">
        <v>351</v>
      </c>
      <c r="H60" s="34" t="s">
        <v>303</v>
      </c>
      <c r="I60" s="70">
        <v>44910</v>
      </c>
      <c r="J60" s="71" t="s">
        <v>551</v>
      </c>
      <c r="K60" s="72" t="s">
        <v>552</v>
      </c>
      <c r="L60" s="26"/>
      <c r="M60" s="26"/>
      <c r="R60" s="167">
        <f t="shared" si="0"/>
        <v>2</v>
      </c>
      <c r="S60" s="167">
        <f t="shared" si="1"/>
        <v>2</v>
      </c>
      <c r="T60" s="167">
        <f t="shared" si="2"/>
        <v>49</v>
      </c>
    </row>
    <row r="61" spans="1:20" s="25" customFormat="1" ht="31.5" x14ac:dyDescent="0.15">
      <c r="A61" s="52" t="str">
        <f ca="1">IF(B61&lt;&gt;"",表紙!$AB$1&amp;"-"&amp;"結合-"&amp;TEXT($S$1,"00")&amp;"-"&amp;TEXT(R61,"00")&amp;"-"&amp;TEXT(S61,"00")&amp;"-"&amp;TEXT(T61,"０00"),"")</f>
        <v>線分-結合-01-02-02-050</v>
      </c>
      <c r="B61" s="26" t="s">
        <v>183</v>
      </c>
      <c r="C61" s="26" t="s">
        <v>184</v>
      </c>
      <c r="D61" s="26" t="s">
        <v>156</v>
      </c>
      <c r="E61" s="43" t="s">
        <v>185</v>
      </c>
      <c r="F61" s="43"/>
      <c r="G61" s="34" t="s">
        <v>352</v>
      </c>
      <c r="H61" s="34" t="s">
        <v>303</v>
      </c>
      <c r="I61" s="70">
        <v>44910</v>
      </c>
      <c r="J61" s="71" t="s">
        <v>551</v>
      </c>
      <c r="K61" s="72" t="s">
        <v>552</v>
      </c>
      <c r="L61" s="26"/>
      <c r="M61" s="26"/>
      <c r="R61" s="167">
        <f t="shared" si="0"/>
        <v>2</v>
      </c>
      <c r="S61" s="167">
        <f t="shared" si="1"/>
        <v>2</v>
      </c>
      <c r="T61" s="167">
        <f t="shared" si="2"/>
        <v>50</v>
      </c>
    </row>
    <row r="62" spans="1:20" s="25" customFormat="1" ht="31.5" x14ac:dyDescent="0.15">
      <c r="A62" s="52" t="str">
        <f ca="1">IF(B62&lt;&gt;"",表紙!$AB$1&amp;"-"&amp;"結合-"&amp;TEXT($S$1,"00")&amp;"-"&amp;TEXT(R62,"00")&amp;"-"&amp;TEXT(S62,"00")&amp;"-"&amp;TEXT(T62,"０00"),"")</f>
        <v>線分-結合-01-02-02-051</v>
      </c>
      <c r="B62" s="26" t="s">
        <v>183</v>
      </c>
      <c r="C62" s="26" t="s">
        <v>184</v>
      </c>
      <c r="D62" s="26" t="s">
        <v>157</v>
      </c>
      <c r="E62" s="43" t="s">
        <v>185</v>
      </c>
      <c r="F62" s="43"/>
      <c r="G62" s="34" t="s">
        <v>353</v>
      </c>
      <c r="H62" s="34" t="s">
        <v>303</v>
      </c>
      <c r="I62" s="70">
        <v>44911</v>
      </c>
      <c r="J62" s="71" t="s">
        <v>551</v>
      </c>
      <c r="K62" s="72" t="s">
        <v>552</v>
      </c>
      <c r="L62" s="26"/>
      <c r="M62" s="26"/>
      <c r="R62" s="167">
        <f t="shared" si="0"/>
        <v>2</v>
      </c>
      <c r="S62" s="167">
        <f t="shared" si="1"/>
        <v>2</v>
      </c>
      <c r="T62" s="167">
        <f t="shared" si="2"/>
        <v>51</v>
      </c>
    </row>
    <row r="63" spans="1:20" s="25" customFormat="1" ht="31.5" x14ac:dyDescent="0.15">
      <c r="A63" s="52" t="str">
        <f ca="1">IF(B63&lt;&gt;"",表紙!$AB$1&amp;"-"&amp;"結合-"&amp;TEXT($S$1,"00")&amp;"-"&amp;TEXT(R63,"00")&amp;"-"&amp;TEXT(S63,"00")&amp;"-"&amp;TEXT(T63,"０00"),"")</f>
        <v>線分-結合-01-02-02-052</v>
      </c>
      <c r="B63" s="26" t="s">
        <v>183</v>
      </c>
      <c r="C63" s="26" t="s">
        <v>184</v>
      </c>
      <c r="D63" s="26" t="s">
        <v>158</v>
      </c>
      <c r="E63" s="43" t="s">
        <v>185</v>
      </c>
      <c r="F63" s="43"/>
      <c r="G63" s="34" t="s">
        <v>354</v>
      </c>
      <c r="H63" s="34" t="s">
        <v>303</v>
      </c>
      <c r="I63" s="70">
        <v>44911</v>
      </c>
      <c r="J63" s="71" t="s">
        <v>551</v>
      </c>
      <c r="K63" s="72" t="s">
        <v>552</v>
      </c>
      <c r="L63" s="26"/>
      <c r="M63" s="26"/>
      <c r="R63" s="167">
        <f t="shared" si="0"/>
        <v>2</v>
      </c>
      <c r="S63" s="167">
        <f t="shared" si="1"/>
        <v>2</v>
      </c>
      <c r="T63" s="167">
        <f t="shared" si="2"/>
        <v>52</v>
      </c>
    </row>
    <row r="64" spans="1:20" s="25" customFormat="1" ht="31.5" x14ac:dyDescent="0.15">
      <c r="A64" s="52" t="str">
        <f ca="1">IF(B64&lt;&gt;"",表紙!$AB$1&amp;"-"&amp;"結合-"&amp;TEXT($S$1,"00")&amp;"-"&amp;TEXT(R64,"00")&amp;"-"&amp;TEXT(S64,"00")&amp;"-"&amp;TEXT(T64,"０00"),"")</f>
        <v>線分-結合-01-02-02-053</v>
      </c>
      <c r="B64" s="26" t="s">
        <v>183</v>
      </c>
      <c r="C64" s="26" t="s">
        <v>184</v>
      </c>
      <c r="D64" s="26" t="s">
        <v>159</v>
      </c>
      <c r="E64" s="43" t="s">
        <v>185</v>
      </c>
      <c r="F64" s="43"/>
      <c r="G64" s="34" t="s">
        <v>355</v>
      </c>
      <c r="H64" s="34" t="s">
        <v>303</v>
      </c>
      <c r="I64" s="70">
        <v>44911</v>
      </c>
      <c r="J64" s="71" t="s">
        <v>551</v>
      </c>
      <c r="K64" s="72" t="s">
        <v>552</v>
      </c>
      <c r="L64" s="26"/>
      <c r="M64" s="26"/>
      <c r="R64" s="167">
        <f t="shared" si="0"/>
        <v>2</v>
      </c>
      <c r="S64" s="167">
        <f t="shared" si="1"/>
        <v>2</v>
      </c>
      <c r="T64" s="167">
        <f t="shared" si="2"/>
        <v>53</v>
      </c>
    </row>
    <row r="65" spans="1:20" s="25" customFormat="1" ht="31.5" x14ac:dyDescent="0.15">
      <c r="A65" s="52" t="str">
        <f ca="1">IF(B65&lt;&gt;"",表紙!$AB$1&amp;"-"&amp;"結合-"&amp;TEXT($S$1,"00")&amp;"-"&amp;TEXT(R65,"00")&amp;"-"&amp;TEXT(S65,"00")&amp;"-"&amp;TEXT(T65,"０00"),"")</f>
        <v>線分-結合-01-02-02-054</v>
      </c>
      <c r="B65" s="26" t="s">
        <v>183</v>
      </c>
      <c r="C65" s="26" t="s">
        <v>184</v>
      </c>
      <c r="D65" s="26" t="s">
        <v>160</v>
      </c>
      <c r="E65" s="43" t="s">
        <v>185</v>
      </c>
      <c r="F65" s="43"/>
      <c r="G65" s="34" t="s">
        <v>356</v>
      </c>
      <c r="H65" s="34" t="s">
        <v>303</v>
      </c>
      <c r="I65" s="70">
        <v>44911</v>
      </c>
      <c r="J65" s="71" t="s">
        <v>551</v>
      </c>
      <c r="K65" s="72" t="s">
        <v>552</v>
      </c>
      <c r="L65" s="26"/>
      <c r="M65" s="26"/>
      <c r="R65" s="167">
        <f t="shared" si="0"/>
        <v>2</v>
      </c>
      <c r="S65" s="167">
        <f t="shared" si="1"/>
        <v>2</v>
      </c>
      <c r="T65" s="167">
        <f t="shared" si="2"/>
        <v>54</v>
      </c>
    </row>
    <row r="66" spans="1:20" s="25" customFormat="1" ht="31.5" x14ac:dyDescent="0.15">
      <c r="A66" s="52" t="str">
        <f ca="1">IF(B66&lt;&gt;"",表紙!$AB$1&amp;"-"&amp;"結合-"&amp;TEXT($S$1,"00")&amp;"-"&amp;TEXT(R66,"00")&amp;"-"&amp;TEXT(S66,"00")&amp;"-"&amp;TEXT(T66,"０00"),"")</f>
        <v>線分-結合-01-02-02-055</v>
      </c>
      <c r="B66" s="26" t="s">
        <v>183</v>
      </c>
      <c r="C66" s="26" t="s">
        <v>184</v>
      </c>
      <c r="D66" s="26" t="s">
        <v>161</v>
      </c>
      <c r="E66" s="43" t="s">
        <v>185</v>
      </c>
      <c r="F66" s="43"/>
      <c r="G66" s="34" t="s">
        <v>357</v>
      </c>
      <c r="H66" s="34" t="s">
        <v>303</v>
      </c>
      <c r="I66" s="70">
        <v>44911</v>
      </c>
      <c r="J66" s="71" t="s">
        <v>551</v>
      </c>
      <c r="K66" s="72" t="s">
        <v>552</v>
      </c>
      <c r="L66" s="26"/>
      <c r="M66" s="26"/>
      <c r="R66" s="167">
        <f t="shared" si="0"/>
        <v>2</v>
      </c>
      <c r="S66" s="167">
        <f t="shared" si="1"/>
        <v>2</v>
      </c>
      <c r="T66" s="167">
        <f t="shared" si="2"/>
        <v>55</v>
      </c>
    </row>
    <row r="67" spans="1:20" s="25" customFormat="1" ht="31.5" x14ac:dyDescent="0.15">
      <c r="A67" s="52" t="str">
        <f ca="1">IF(B67&lt;&gt;"",表紙!$AB$1&amp;"-"&amp;"結合-"&amp;TEXT($S$1,"00")&amp;"-"&amp;TEXT(R67,"00")&amp;"-"&amp;TEXT(S67,"00")&amp;"-"&amp;TEXT(T67,"０00"),"")</f>
        <v>線分-結合-01-02-02-056</v>
      </c>
      <c r="B67" s="26" t="s">
        <v>183</v>
      </c>
      <c r="C67" s="26" t="s">
        <v>184</v>
      </c>
      <c r="D67" s="26" t="s">
        <v>297</v>
      </c>
      <c r="E67" s="43" t="s">
        <v>185</v>
      </c>
      <c r="F67" s="43"/>
      <c r="G67" s="34" t="s">
        <v>390</v>
      </c>
      <c r="H67" s="34" t="s">
        <v>303</v>
      </c>
      <c r="I67" s="70">
        <v>44911</v>
      </c>
      <c r="J67" s="71" t="s">
        <v>551</v>
      </c>
      <c r="K67" s="72" t="s">
        <v>552</v>
      </c>
      <c r="L67" s="26"/>
      <c r="M67" s="26"/>
      <c r="R67" s="167">
        <f t="shared" si="0"/>
        <v>2</v>
      </c>
      <c r="S67" s="167">
        <f t="shared" si="1"/>
        <v>2</v>
      </c>
      <c r="T67" s="167">
        <f t="shared" si="2"/>
        <v>56</v>
      </c>
    </row>
    <row r="68" spans="1:20" s="25" customFormat="1" ht="63" x14ac:dyDescent="0.15">
      <c r="A68" s="52" t="str">
        <f ca="1">IF(B68&lt;&gt;"",表紙!$AB$1&amp;"-"&amp;"結合-"&amp;TEXT($S$1,"00")&amp;"-"&amp;TEXT(R68,"00")&amp;"-"&amp;TEXT(S68,"00")&amp;"-"&amp;TEXT(T68,"０00"),"")</f>
        <v>線分-結合-01-02-03-001</v>
      </c>
      <c r="B68" s="26" t="s">
        <v>183</v>
      </c>
      <c r="C68" s="26" t="s">
        <v>186</v>
      </c>
      <c r="D68" s="26" t="s">
        <v>174</v>
      </c>
      <c r="E68" s="43" t="s">
        <v>185</v>
      </c>
      <c r="F68" s="43"/>
      <c r="G68" s="34" t="s">
        <v>439</v>
      </c>
      <c r="H68" s="34" t="s">
        <v>362</v>
      </c>
      <c r="I68" s="70">
        <v>44911</v>
      </c>
      <c r="J68" s="71" t="s">
        <v>551</v>
      </c>
      <c r="K68" s="72" t="s">
        <v>552</v>
      </c>
      <c r="L68" s="26"/>
      <c r="M68" s="26"/>
      <c r="R68" s="167">
        <f t="shared" ref="R68:R79" si="3">IF(ROW()&lt;&gt;3,IF(B67&lt;&gt;B68,R67+1,R67),1)</f>
        <v>2</v>
      </c>
      <c r="S68" s="167">
        <f t="shared" ref="S68:S79" si="4">IF(B67=B68,IF(C67&lt;&gt;C68,S67+1,S67),1)</f>
        <v>3</v>
      </c>
      <c r="T68" s="167">
        <f t="shared" ref="T68:T79" si="5">IF(B67&lt;&gt;B68,1,IF(C67=C68,T67+1,1))</f>
        <v>1</v>
      </c>
    </row>
    <row r="69" spans="1:20" s="25" customFormat="1" ht="94.5" x14ac:dyDescent="0.15">
      <c r="A69" s="52" t="str">
        <f ca="1">IF(B69&lt;&gt;"",表紙!$AB$1&amp;"-"&amp;"結合-"&amp;TEXT($S$1,"00")&amp;"-"&amp;TEXT(R69,"00")&amp;"-"&amp;TEXT(S69,"00")&amp;"-"&amp;TEXT(T69,"０00"),"")</f>
        <v>線分-結合-01-02-04-001</v>
      </c>
      <c r="B69" s="26" t="s">
        <v>183</v>
      </c>
      <c r="C69" s="26" t="s">
        <v>363</v>
      </c>
      <c r="D69" s="26" t="s">
        <v>174</v>
      </c>
      <c r="E69" s="43" t="s">
        <v>185</v>
      </c>
      <c r="F69" s="43"/>
      <c r="G69" s="34" t="s">
        <v>436</v>
      </c>
      <c r="H69" s="34" t="s">
        <v>394</v>
      </c>
      <c r="I69" s="70">
        <v>44911</v>
      </c>
      <c r="J69" s="71" t="s">
        <v>551</v>
      </c>
      <c r="K69" s="72" t="s">
        <v>552</v>
      </c>
      <c r="L69" s="26"/>
      <c r="M69" s="26"/>
      <c r="R69" s="167">
        <f t="shared" si="3"/>
        <v>2</v>
      </c>
      <c r="S69" s="167">
        <f t="shared" si="4"/>
        <v>4</v>
      </c>
      <c r="T69" s="167">
        <f t="shared" si="5"/>
        <v>1</v>
      </c>
    </row>
    <row r="70" spans="1:20" s="25" customFormat="1" ht="94.5" x14ac:dyDescent="0.15">
      <c r="A70" s="52" t="str">
        <f ca="1">IF(B70&lt;&gt;"",表紙!$AB$1&amp;"-"&amp;"結合-"&amp;TEXT($S$1,"00")&amp;"-"&amp;TEXT(R70,"00")&amp;"-"&amp;TEXT(S70,"00")&amp;"-"&amp;TEXT(T70,"０00"),"")</f>
        <v>線分-結合-01-02-05-001</v>
      </c>
      <c r="B70" s="26" t="s">
        <v>183</v>
      </c>
      <c r="C70" s="26" t="s">
        <v>364</v>
      </c>
      <c r="D70" s="26" t="s">
        <v>174</v>
      </c>
      <c r="E70" s="43" t="s">
        <v>185</v>
      </c>
      <c r="F70" s="43"/>
      <c r="G70" s="34" t="s">
        <v>437</v>
      </c>
      <c r="H70" s="34" t="s">
        <v>395</v>
      </c>
      <c r="I70" s="70">
        <v>44911</v>
      </c>
      <c r="J70" s="71" t="s">
        <v>551</v>
      </c>
      <c r="K70" s="72" t="s">
        <v>552</v>
      </c>
      <c r="L70" s="26"/>
      <c r="M70" s="26"/>
      <c r="R70" s="167">
        <f t="shared" si="3"/>
        <v>2</v>
      </c>
      <c r="S70" s="167">
        <f t="shared" si="4"/>
        <v>5</v>
      </c>
      <c r="T70" s="167">
        <f t="shared" si="5"/>
        <v>1</v>
      </c>
    </row>
    <row r="71" spans="1:20" s="25" customFormat="1" ht="94.5" x14ac:dyDescent="0.15">
      <c r="A71" s="52" t="str">
        <f ca="1">IF(B71&lt;&gt;"",表紙!$AB$1&amp;"-"&amp;"結合-"&amp;TEXT($S$1,"00")&amp;"-"&amp;TEXT(R71,"00")&amp;"-"&amp;TEXT(S71,"00")&amp;"-"&amp;TEXT(T71,"０00"),"")</f>
        <v>線分-結合-01-02-06-001</v>
      </c>
      <c r="B71" s="26" t="s">
        <v>183</v>
      </c>
      <c r="C71" s="26" t="s">
        <v>365</v>
      </c>
      <c r="D71" s="26" t="s">
        <v>174</v>
      </c>
      <c r="E71" s="43" t="s">
        <v>185</v>
      </c>
      <c r="F71" s="43"/>
      <c r="G71" s="34" t="s">
        <v>438</v>
      </c>
      <c r="H71" s="34" t="s">
        <v>396</v>
      </c>
      <c r="I71" s="70">
        <v>44911</v>
      </c>
      <c r="J71" s="71" t="s">
        <v>551</v>
      </c>
      <c r="K71" s="72" t="s">
        <v>552</v>
      </c>
      <c r="L71" s="26"/>
      <c r="M71" s="26"/>
      <c r="R71" s="167">
        <f t="shared" si="3"/>
        <v>2</v>
      </c>
      <c r="S71" s="167">
        <f t="shared" si="4"/>
        <v>6</v>
      </c>
      <c r="T71" s="167">
        <f t="shared" si="5"/>
        <v>1</v>
      </c>
    </row>
    <row r="72" spans="1:20" s="25" customFormat="1" ht="42" x14ac:dyDescent="0.15">
      <c r="A72" s="52" t="str">
        <f ca="1">IF(B72&lt;&gt;"",表紙!$AB$1&amp;"-"&amp;"結合-"&amp;TEXT($S$1,"00")&amp;"-"&amp;TEXT(R72,"00")&amp;"-"&amp;TEXT(S72,"00")&amp;"-"&amp;TEXT(T72,"０00"),"")</f>
        <v>線分-結合-01-02-07-001</v>
      </c>
      <c r="B72" s="26" t="s">
        <v>183</v>
      </c>
      <c r="C72" s="26" t="s">
        <v>188</v>
      </c>
      <c r="D72" s="26" t="s">
        <v>174</v>
      </c>
      <c r="E72" s="43" t="s">
        <v>185</v>
      </c>
      <c r="F72" s="43"/>
      <c r="G72" s="34" t="s">
        <v>440</v>
      </c>
      <c r="H72" s="34" t="s">
        <v>393</v>
      </c>
      <c r="I72" s="70">
        <v>44911</v>
      </c>
      <c r="J72" s="71" t="s">
        <v>551</v>
      </c>
      <c r="K72" s="72" t="s">
        <v>552</v>
      </c>
      <c r="L72" s="26"/>
      <c r="M72" s="26"/>
      <c r="R72" s="167">
        <f t="shared" si="3"/>
        <v>2</v>
      </c>
      <c r="S72" s="167">
        <f t="shared" si="4"/>
        <v>7</v>
      </c>
      <c r="T72" s="167">
        <f t="shared" si="5"/>
        <v>1</v>
      </c>
    </row>
    <row r="73" spans="1:20" s="25" customFormat="1" ht="199.5" x14ac:dyDescent="0.15">
      <c r="A73" s="52" t="str">
        <f ca="1">IF(B73&lt;&gt;"",表紙!$AB$1&amp;"-"&amp;"結合-"&amp;TEXT($S$1,"00")&amp;"-"&amp;TEXT(R73,"00")&amp;"-"&amp;TEXT(S73,"00")&amp;"-"&amp;TEXT(T73,"０00"),"")</f>
        <v>線分-結合-01-02-08-001</v>
      </c>
      <c r="B73" s="26" t="s">
        <v>183</v>
      </c>
      <c r="C73" s="26" t="s">
        <v>193</v>
      </c>
      <c r="D73" s="26" t="s">
        <v>55</v>
      </c>
      <c r="E73" s="43" t="s">
        <v>185</v>
      </c>
      <c r="F73" s="43"/>
      <c r="G73" s="34" t="s">
        <v>398</v>
      </c>
      <c r="H73" s="34" t="s">
        <v>397</v>
      </c>
      <c r="I73" s="70">
        <v>44914</v>
      </c>
      <c r="J73" s="71" t="s">
        <v>551</v>
      </c>
      <c r="K73" s="72" t="s">
        <v>552</v>
      </c>
      <c r="L73" s="26"/>
      <c r="M73" s="26"/>
      <c r="R73" s="167">
        <f t="shared" si="3"/>
        <v>2</v>
      </c>
      <c r="S73" s="167">
        <f t="shared" si="4"/>
        <v>8</v>
      </c>
      <c r="T73" s="167">
        <f t="shared" si="5"/>
        <v>1</v>
      </c>
    </row>
    <row r="74" spans="1:20" s="25" customFormat="1" ht="199.5" x14ac:dyDescent="0.15">
      <c r="A74" s="52" t="str">
        <f ca="1">IF(B74&lt;&gt;"",表紙!$AB$1&amp;"-"&amp;"結合-"&amp;TEXT($S$1,"00")&amp;"-"&amp;TEXT(R74,"00")&amp;"-"&amp;TEXT(S74,"00")&amp;"-"&amp;TEXT(T74,"０00"),"")</f>
        <v>線分-結合-01-02-08-002</v>
      </c>
      <c r="B74" s="26" t="s">
        <v>183</v>
      </c>
      <c r="C74" s="26" t="s">
        <v>193</v>
      </c>
      <c r="D74" s="26" t="s">
        <v>46</v>
      </c>
      <c r="E74" s="43" t="s">
        <v>185</v>
      </c>
      <c r="F74" s="43"/>
      <c r="G74" s="34" t="s">
        <v>399</v>
      </c>
      <c r="H74" s="34" t="s">
        <v>397</v>
      </c>
      <c r="I74" s="70">
        <v>44914</v>
      </c>
      <c r="J74" s="71" t="s">
        <v>551</v>
      </c>
      <c r="K74" s="72" t="s">
        <v>552</v>
      </c>
      <c r="L74" s="26"/>
      <c r="M74" s="26"/>
      <c r="R74" s="167">
        <f t="shared" si="3"/>
        <v>2</v>
      </c>
      <c r="S74" s="167">
        <f t="shared" si="4"/>
        <v>8</v>
      </c>
      <c r="T74" s="167">
        <f t="shared" si="5"/>
        <v>2</v>
      </c>
    </row>
    <row r="75" spans="1:20" s="25" customFormat="1" ht="63" x14ac:dyDescent="0.15">
      <c r="A75" s="52" t="str">
        <f ca="1">IF(B75&lt;&gt;"",表紙!$AB$1&amp;"-"&amp;"結合-"&amp;TEXT($S$1,"00")&amp;"-"&amp;TEXT(R75,"00")&amp;"-"&amp;TEXT(S75,"00")&amp;"-"&amp;TEXT(T75,"０00"),"")</f>
        <v>線分-結合-01-02-09-001</v>
      </c>
      <c r="B75" s="26" t="s">
        <v>183</v>
      </c>
      <c r="C75" s="26" t="s">
        <v>189</v>
      </c>
      <c r="D75" s="26" t="s">
        <v>190</v>
      </c>
      <c r="E75" s="43" t="s">
        <v>185</v>
      </c>
      <c r="F75" s="43"/>
      <c r="G75" s="34" t="s">
        <v>400</v>
      </c>
      <c r="H75" s="34" t="s">
        <v>401</v>
      </c>
      <c r="I75" s="70">
        <v>44914</v>
      </c>
      <c r="J75" s="71" t="s">
        <v>551</v>
      </c>
      <c r="K75" s="72" t="s">
        <v>552</v>
      </c>
      <c r="L75" s="26"/>
      <c r="M75" s="26"/>
      <c r="R75" s="167">
        <f t="shared" si="3"/>
        <v>2</v>
      </c>
      <c r="S75" s="167">
        <f t="shared" si="4"/>
        <v>9</v>
      </c>
      <c r="T75" s="167">
        <f t="shared" si="5"/>
        <v>1</v>
      </c>
    </row>
    <row r="76" spans="1:20" s="25" customFormat="1" ht="63" x14ac:dyDescent="0.15">
      <c r="A76" s="52" t="str">
        <f ca="1">IF(B76&lt;&gt;"",表紙!$AB$1&amp;"-"&amp;"結合-"&amp;TEXT($S$1,"00")&amp;"-"&amp;TEXT(R76,"00")&amp;"-"&amp;TEXT(S76,"00")&amp;"-"&amp;TEXT(T76,"０00"),"")</f>
        <v>線分-結合-01-02-10-001</v>
      </c>
      <c r="B76" s="26" t="s">
        <v>183</v>
      </c>
      <c r="C76" s="26" t="s">
        <v>191</v>
      </c>
      <c r="D76" s="26" t="s">
        <v>192</v>
      </c>
      <c r="E76" s="43" t="s">
        <v>185</v>
      </c>
      <c r="F76" s="43"/>
      <c r="G76" s="34" t="s">
        <v>402</v>
      </c>
      <c r="H76" s="34" t="s">
        <v>403</v>
      </c>
      <c r="I76" s="70">
        <v>44914</v>
      </c>
      <c r="J76" s="71" t="s">
        <v>551</v>
      </c>
      <c r="K76" s="72" t="s">
        <v>552</v>
      </c>
      <c r="L76" s="26"/>
      <c r="M76" s="26"/>
      <c r="R76" s="167">
        <f t="shared" si="3"/>
        <v>2</v>
      </c>
      <c r="S76" s="167">
        <f t="shared" si="4"/>
        <v>10</v>
      </c>
      <c r="T76" s="167">
        <f t="shared" si="5"/>
        <v>1</v>
      </c>
    </row>
    <row r="77" spans="1:20" s="25" customFormat="1" ht="42" x14ac:dyDescent="0.15">
      <c r="A77" s="52" t="str">
        <f ca="1">IF(B77&lt;&gt;"",表紙!$AB$1&amp;"-"&amp;"結合-"&amp;TEXT($S$1,"00")&amp;"-"&amp;TEXT(R77,"00")&amp;"-"&amp;TEXT(S77,"00")&amp;"-"&amp;TEXT(T77,"０00"),"")</f>
        <v>線分-結合-01-02-11-001</v>
      </c>
      <c r="B77" s="26" t="s">
        <v>183</v>
      </c>
      <c r="C77" s="26" t="s">
        <v>194</v>
      </c>
      <c r="D77" s="26" t="s">
        <v>198</v>
      </c>
      <c r="E77" s="43" t="s">
        <v>185</v>
      </c>
      <c r="F77" s="43"/>
      <c r="G77" s="34" t="s">
        <v>441</v>
      </c>
      <c r="H77" s="34" t="s">
        <v>393</v>
      </c>
      <c r="I77" s="27">
        <v>44907</v>
      </c>
      <c r="J77" s="28" t="s">
        <v>551</v>
      </c>
      <c r="K77" s="28" t="s">
        <v>552</v>
      </c>
      <c r="L77" s="26"/>
      <c r="M77" s="26"/>
      <c r="R77" s="167">
        <f t="shared" si="3"/>
        <v>2</v>
      </c>
      <c r="S77" s="167">
        <f t="shared" si="4"/>
        <v>11</v>
      </c>
      <c r="T77" s="167">
        <f t="shared" si="5"/>
        <v>1</v>
      </c>
    </row>
    <row r="78" spans="1:20" s="25" customFormat="1" ht="21" x14ac:dyDescent="0.15">
      <c r="A78" s="52" t="str">
        <f ca="1">IF(B78&lt;&gt;"",表紙!$AB$1&amp;"-"&amp;"結合-"&amp;TEXT($S$1,"00")&amp;"-"&amp;TEXT(R78,"00")&amp;"-"&amp;TEXT(S78,"00")&amp;"-"&amp;TEXT(T78,"０00"),"")</f>
        <v>線分-結合-01-02-12-001</v>
      </c>
      <c r="B78" s="26" t="s">
        <v>183</v>
      </c>
      <c r="C78" s="26" t="s">
        <v>197</v>
      </c>
      <c r="D78" s="26" t="s">
        <v>198</v>
      </c>
      <c r="E78" s="43" t="s">
        <v>185</v>
      </c>
      <c r="F78" s="43"/>
      <c r="G78" s="34"/>
      <c r="H78" s="34"/>
      <c r="I78" s="27"/>
      <c r="J78" s="28"/>
      <c r="K78" s="28"/>
      <c r="L78" s="26"/>
      <c r="M78" s="26" t="str">
        <f ca="1">$A$72</f>
        <v>線分-結合-01-02-07-001</v>
      </c>
      <c r="R78" s="167">
        <f t="shared" si="3"/>
        <v>2</v>
      </c>
      <c r="S78" s="167">
        <f t="shared" si="4"/>
        <v>12</v>
      </c>
      <c r="T78" s="167">
        <f t="shared" si="5"/>
        <v>1</v>
      </c>
    </row>
    <row r="79" spans="1:20" s="25" customFormat="1" ht="168" x14ac:dyDescent="0.15">
      <c r="A79" s="52" t="str">
        <f ca="1">IF(B79&lt;&gt;"",表紙!$AB$1&amp;"-"&amp;"結合-"&amp;TEXT($S$1,"00")&amp;"-"&amp;TEXT(R79,"00")&amp;"-"&amp;TEXT(S79,"00")&amp;"-"&amp;TEXT(T79,"０00"),"")</f>
        <v>線分-結合-01-03-01-001</v>
      </c>
      <c r="B79" s="26" t="s">
        <v>199</v>
      </c>
      <c r="C79" s="26" t="s">
        <v>200</v>
      </c>
      <c r="D79" s="26" t="s">
        <v>198</v>
      </c>
      <c r="E79" s="43" t="s">
        <v>185</v>
      </c>
      <c r="F79" s="43"/>
      <c r="G79" s="34" t="s">
        <v>543</v>
      </c>
      <c r="H79" s="34" t="s">
        <v>544</v>
      </c>
      <c r="I79" s="70">
        <v>44907</v>
      </c>
      <c r="J79" s="71" t="s">
        <v>551</v>
      </c>
      <c r="K79" s="72" t="s">
        <v>552</v>
      </c>
      <c r="L79" s="26"/>
      <c r="M79" s="26"/>
      <c r="R79" s="167">
        <f t="shared" si="3"/>
        <v>3</v>
      </c>
      <c r="S79" s="167">
        <f t="shared" si="4"/>
        <v>1</v>
      </c>
      <c r="T79" s="167">
        <f t="shared" si="5"/>
        <v>1</v>
      </c>
    </row>
    <row r="80" spans="1:20" s="25" customFormat="1" ht="136.5" x14ac:dyDescent="0.15">
      <c r="A80" s="52" t="str">
        <f ca="1">IF(B80&lt;&gt;"",表紙!$AB$1&amp;"-"&amp;"結合-"&amp;TEXT($S$1,"00")&amp;"-"&amp;TEXT(R80,"00")&amp;"-"&amp;TEXT(S80,"00")&amp;"-"&amp;TEXT(T80,"０00"),"")</f>
        <v>線分-結合-01-03-02-001</v>
      </c>
      <c r="B80" s="26" t="s">
        <v>199</v>
      </c>
      <c r="C80" s="26" t="s">
        <v>201</v>
      </c>
      <c r="D80" s="26" t="s">
        <v>561</v>
      </c>
      <c r="E80" s="43" t="s">
        <v>185</v>
      </c>
      <c r="F80" s="43"/>
      <c r="G80" s="34" t="s">
        <v>560</v>
      </c>
      <c r="H80" s="34" t="s">
        <v>570</v>
      </c>
      <c r="I80" s="124">
        <v>44936</v>
      </c>
      <c r="J80" s="125" t="s">
        <v>576</v>
      </c>
      <c r="K80" s="125" t="s">
        <v>577</v>
      </c>
      <c r="L80" s="26"/>
      <c r="M80" s="26"/>
      <c r="R80" s="167">
        <f>IF(ROW()&lt;&gt;3,IF(B79&lt;&gt;B80,R79+1,R79),1)</f>
        <v>3</v>
      </c>
      <c r="S80" s="167">
        <f>IF(B79=B80,IF(C79&lt;&gt;C80,S79+1,S79),1)</f>
        <v>2</v>
      </c>
      <c r="T80" s="167">
        <f>IF(B79&lt;&gt;B80,1,IF(C79=C80,T79+1,1))</f>
        <v>1</v>
      </c>
    </row>
    <row r="81" spans="1:20" s="25" customFormat="1" ht="136.5" x14ac:dyDescent="0.15">
      <c r="A81" s="52" t="str">
        <f ca="1">IF(B81&lt;&gt;"",表紙!$AB$1&amp;"-"&amp;"結合-"&amp;TEXT($S$1,"00")&amp;"-"&amp;TEXT(R81,"00")&amp;"-"&amp;TEXT(S81,"00")&amp;"-"&amp;TEXT(T81,"０00"),"")</f>
        <v>線分-結合-01-03-02-002</v>
      </c>
      <c r="B81" s="26" t="s">
        <v>199</v>
      </c>
      <c r="C81" s="26" t="s">
        <v>201</v>
      </c>
      <c r="D81" s="26" t="s">
        <v>562</v>
      </c>
      <c r="E81" s="43" t="s">
        <v>185</v>
      </c>
      <c r="F81" s="43"/>
      <c r="G81" s="34" t="s">
        <v>567</v>
      </c>
      <c r="H81" s="34" t="s">
        <v>571</v>
      </c>
      <c r="I81" s="124">
        <v>44936</v>
      </c>
      <c r="J81" s="125" t="s">
        <v>576</v>
      </c>
      <c r="K81" s="125" t="s">
        <v>577</v>
      </c>
      <c r="L81" s="26"/>
      <c r="M81" s="26"/>
      <c r="R81" s="167">
        <f t="shared" ref="R81:R82" si="6">IF(ROW()&lt;&gt;3,IF(B80&lt;&gt;B81,R80+1,R80),1)</f>
        <v>3</v>
      </c>
      <c r="S81" s="167">
        <f t="shared" ref="S81:S82" si="7">IF(B80=B81,IF(C80&lt;&gt;C81,S80+1,S80),1)</f>
        <v>2</v>
      </c>
      <c r="T81" s="167">
        <f t="shared" ref="T81:T82" si="8">IF(B80&lt;&gt;B81,1,IF(C80=C81,T80+1,1))</f>
        <v>2</v>
      </c>
    </row>
    <row r="82" spans="1:20" s="25" customFormat="1" ht="136.5" x14ac:dyDescent="0.15">
      <c r="A82" s="52" t="str">
        <f ca="1">IF(B82&lt;&gt;"",表紙!$AB$1&amp;"-"&amp;"結合-"&amp;TEXT($S$1,"00")&amp;"-"&amp;TEXT(R82,"00")&amp;"-"&amp;TEXT(S82,"00")&amp;"-"&amp;TEXT(T82,"０00"),"")</f>
        <v>線分-結合-01-03-02-003</v>
      </c>
      <c r="B82" s="26" t="s">
        <v>199</v>
      </c>
      <c r="C82" s="26" t="s">
        <v>201</v>
      </c>
      <c r="D82" s="26" t="s">
        <v>564</v>
      </c>
      <c r="E82" s="43" t="s">
        <v>185</v>
      </c>
      <c r="F82" s="43"/>
      <c r="G82" s="34" t="s">
        <v>565</v>
      </c>
      <c r="H82" s="34" t="s">
        <v>575</v>
      </c>
      <c r="I82" s="124">
        <v>44936</v>
      </c>
      <c r="J82" s="125" t="s">
        <v>576</v>
      </c>
      <c r="K82" s="125" t="s">
        <v>577</v>
      </c>
      <c r="L82" s="26"/>
      <c r="M82" s="26"/>
      <c r="R82" s="167">
        <f t="shared" si="6"/>
        <v>3</v>
      </c>
      <c r="S82" s="167">
        <f t="shared" si="7"/>
        <v>2</v>
      </c>
      <c r="T82" s="167">
        <f t="shared" si="8"/>
        <v>3</v>
      </c>
    </row>
    <row r="83" spans="1:20" s="25" customFormat="1" ht="136.5" x14ac:dyDescent="0.15">
      <c r="A83" s="52" t="str">
        <f ca="1">IF(B83&lt;&gt;"",表紙!$AB$1&amp;"-"&amp;"結合-"&amp;TEXT($S$1,"00")&amp;"-"&amp;TEXT(R83,"00")&amp;"-"&amp;TEXT(S83,"00")&amp;"-"&amp;TEXT(T83,"０00"),"")</f>
        <v>線分-結合-01-03-02-004</v>
      </c>
      <c r="B83" s="26" t="s">
        <v>199</v>
      </c>
      <c r="C83" s="26" t="s">
        <v>201</v>
      </c>
      <c r="D83" s="26" t="s">
        <v>563</v>
      </c>
      <c r="E83" s="43" t="s">
        <v>185</v>
      </c>
      <c r="F83" s="43"/>
      <c r="G83" s="34" t="s">
        <v>568</v>
      </c>
      <c r="H83" s="34" t="s">
        <v>574</v>
      </c>
      <c r="I83" s="124">
        <v>44936</v>
      </c>
      <c r="J83" s="125" t="s">
        <v>576</v>
      </c>
      <c r="K83" s="125" t="s">
        <v>577</v>
      </c>
      <c r="L83" s="26"/>
      <c r="M83" s="26"/>
      <c r="R83" s="167">
        <f t="shared" ref="R83:R107" si="9">IF(ROW()&lt;&gt;3,IF(B82&lt;&gt;B83,R82+1,R82),1)</f>
        <v>3</v>
      </c>
      <c r="S83" s="167">
        <f t="shared" ref="S83:S107" si="10">IF(B82=B83,IF(C82&lt;&gt;C83,S82+1,S82),1)</f>
        <v>2</v>
      </c>
      <c r="T83" s="167">
        <f t="shared" ref="T83:T107" si="11">IF(B82&lt;&gt;B83,1,IF(C82=C83,T82+1,1))</f>
        <v>4</v>
      </c>
    </row>
    <row r="84" spans="1:20" s="25" customFormat="1" ht="136.5" x14ac:dyDescent="0.15">
      <c r="A84" s="52" t="str">
        <f ca="1">IF(B84&lt;&gt;"",表紙!$AB$1&amp;"-"&amp;"結合-"&amp;TEXT($S$1,"00")&amp;"-"&amp;TEXT(R84,"00")&amp;"-"&amp;TEXT(S84,"00")&amp;"-"&amp;TEXT(T84,"０00"),"")</f>
        <v>線分-結合-01-03-02-005</v>
      </c>
      <c r="B84" s="26" t="s">
        <v>199</v>
      </c>
      <c r="C84" s="26" t="s">
        <v>201</v>
      </c>
      <c r="D84" s="26" t="s">
        <v>591</v>
      </c>
      <c r="E84" s="43" t="s">
        <v>185</v>
      </c>
      <c r="F84" s="43"/>
      <c r="G84" s="34" t="s">
        <v>566</v>
      </c>
      <c r="H84" s="34" t="s">
        <v>573</v>
      </c>
      <c r="I84" s="124">
        <v>44936</v>
      </c>
      <c r="J84" s="125" t="s">
        <v>576</v>
      </c>
      <c r="K84" s="125" t="s">
        <v>577</v>
      </c>
      <c r="L84" s="26"/>
      <c r="M84" s="26"/>
      <c r="R84" s="167">
        <f t="shared" si="9"/>
        <v>3</v>
      </c>
      <c r="S84" s="167">
        <f t="shared" si="10"/>
        <v>2</v>
      </c>
      <c r="T84" s="167">
        <f t="shared" si="11"/>
        <v>5</v>
      </c>
    </row>
    <row r="85" spans="1:20" s="25" customFormat="1" ht="136.5" x14ac:dyDescent="0.15">
      <c r="A85" s="52" t="str">
        <f ca="1">IF(B85&lt;&gt;"",表紙!$AB$1&amp;"-"&amp;"結合-"&amp;TEXT($S$1,"00")&amp;"-"&amp;TEXT(R85,"00")&amp;"-"&amp;TEXT(S85,"00")&amp;"-"&amp;TEXT(T85,"０00"),"")</f>
        <v>線分-結合-01-03-02-006</v>
      </c>
      <c r="B85" s="26" t="s">
        <v>199</v>
      </c>
      <c r="C85" s="26" t="s">
        <v>201</v>
      </c>
      <c r="D85" s="26" t="s">
        <v>592</v>
      </c>
      <c r="E85" s="43" t="s">
        <v>185</v>
      </c>
      <c r="F85" s="43"/>
      <c r="G85" s="34" t="s">
        <v>569</v>
      </c>
      <c r="H85" s="34" t="s">
        <v>572</v>
      </c>
      <c r="I85" s="124">
        <v>44936</v>
      </c>
      <c r="J85" s="125" t="s">
        <v>576</v>
      </c>
      <c r="K85" s="125" t="s">
        <v>577</v>
      </c>
      <c r="L85" s="26"/>
      <c r="M85" s="26"/>
      <c r="R85" s="167">
        <f t="shared" si="9"/>
        <v>3</v>
      </c>
      <c r="S85" s="167">
        <f t="shared" si="10"/>
        <v>2</v>
      </c>
      <c r="T85" s="167">
        <f t="shared" si="11"/>
        <v>6</v>
      </c>
    </row>
    <row r="86" spans="1:20" s="25" customFormat="1" ht="136.5" x14ac:dyDescent="0.15">
      <c r="A86" s="52" t="str">
        <f ca="1">IF(B86&lt;&gt;"",表紙!$AB$1&amp;"-"&amp;"結合-"&amp;TEXT($S$1,"00")&amp;"-"&amp;TEXT(R86,"00")&amp;"-"&amp;TEXT(S86,"00")&amp;"-"&amp;TEXT(T86,"０00"),"")</f>
        <v>線分-結合-01-03-03-001</v>
      </c>
      <c r="B86" s="26" t="s">
        <v>199</v>
      </c>
      <c r="C86" s="26" t="s">
        <v>553</v>
      </c>
      <c r="D86" s="26" t="s">
        <v>545</v>
      </c>
      <c r="E86" s="43" t="s">
        <v>185</v>
      </c>
      <c r="F86" s="43"/>
      <c r="G86" s="34" t="s">
        <v>580</v>
      </c>
      <c r="H86" s="34" t="s">
        <v>581</v>
      </c>
      <c r="I86" s="124">
        <v>44936</v>
      </c>
      <c r="J86" s="125" t="s">
        <v>576</v>
      </c>
      <c r="K86" s="125" t="s">
        <v>577</v>
      </c>
      <c r="L86" s="26" t="s">
        <v>549</v>
      </c>
      <c r="M86" s="26"/>
      <c r="R86" s="167">
        <f t="shared" si="9"/>
        <v>3</v>
      </c>
      <c r="S86" s="167">
        <f t="shared" si="10"/>
        <v>3</v>
      </c>
      <c r="T86" s="167">
        <f t="shared" si="11"/>
        <v>1</v>
      </c>
    </row>
    <row r="87" spans="1:20" s="25" customFormat="1" ht="136.5" x14ac:dyDescent="0.15">
      <c r="A87" s="52" t="str">
        <f ca="1">IF(B87&lt;&gt;"",表紙!$AB$1&amp;"-"&amp;"結合-"&amp;TEXT($S$1,"00")&amp;"-"&amp;TEXT(R87,"00")&amp;"-"&amp;TEXT(S87,"00")&amp;"-"&amp;TEXT(T87,"０00"),"")</f>
        <v>線分-結合-01-03-03-002</v>
      </c>
      <c r="B87" s="26" t="s">
        <v>199</v>
      </c>
      <c r="C87" s="26" t="s">
        <v>553</v>
      </c>
      <c r="D87" s="26" t="s">
        <v>546</v>
      </c>
      <c r="E87" s="43" t="s">
        <v>185</v>
      </c>
      <c r="F87" s="43"/>
      <c r="G87" s="34" t="s">
        <v>582</v>
      </c>
      <c r="H87" s="34" t="s">
        <v>583</v>
      </c>
      <c r="I87" s="124">
        <v>44936</v>
      </c>
      <c r="J87" s="125" t="s">
        <v>576</v>
      </c>
      <c r="K87" s="125" t="s">
        <v>577</v>
      </c>
      <c r="L87" s="26" t="s">
        <v>550</v>
      </c>
      <c r="M87" s="26"/>
      <c r="R87" s="167">
        <f t="shared" si="9"/>
        <v>3</v>
      </c>
      <c r="S87" s="167">
        <f t="shared" si="10"/>
        <v>3</v>
      </c>
      <c r="T87" s="167">
        <f t="shared" si="11"/>
        <v>2</v>
      </c>
    </row>
    <row r="88" spans="1:20" s="25" customFormat="1" ht="21" x14ac:dyDescent="0.15">
      <c r="A88" s="52" t="str">
        <f ca="1">IF(B88&lt;&gt;"",表紙!$AB$1&amp;"-"&amp;"結合-"&amp;TEXT($S$1,"00")&amp;"-"&amp;TEXT(R88,"00")&amp;"-"&amp;TEXT(S88,"00")&amp;"-"&amp;TEXT(T88,"０00"),"")</f>
        <v>線分-結合-01-03-03-003</v>
      </c>
      <c r="B88" s="26" t="s">
        <v>199</v>
      </c>
      <c r="C88" s="26" t="s">
        <v>553</v>
      </c>
      <c r="D88" s="26" t="s">
        <v>547</v>
      </c>
      <c r="E88" s="43" t="s">
        <v>185</v>
      </c>
      <c r="F88" s="43"/>
      <c r="G88" s="34"/>
      <c r="H88" s="34"/>
      <c r="I88" s="27"/>
      <c r="J88" s="28"/>
      <c r="K88" s="28"/>
      <c r="L88" s="26" t="s">
        <v>550</v>
      </c>
      <c r="M88" s="26" t="str">
        <f ca="1">$A$87</f>
        <v>線分-結合-01-03-03-002</v>
      </c>
      <c r="R88" s="167">
        <f t="shared" si="9"/>
        <v>3</v>
      </c>
      <c r="S88" s="167">
        <f t="shared" si="10"/>
        <v>3</v>
      </c>
      <c r="T88" s="167">
        <f t="shared" si="11"/>
        <v>3</v>
      </c>
    </row>
    <row r="89" spans="1:20" s="25" customFormat="1" ht="136.5" x14ac:dyDescent="0.15">
      <c r="A89" s="52" t="str">
        <f ca="1">IF(B89&lt;&gt;"",表紙!$AB$1&amp;"-"&amp;"結合-"&amp;TEXT($S$1,"00")&amp;"-"&amp;TEXT(R89,"00")&amp;"-"&amp;TEXT(S89,"00")&amp;"-"&amp;TEXT(T89,"０00"),"")</f>
        <v>線分-結合-01-03-03-004</v>
      </c>
      <c r="B89" s="26" t="s">
        <v>199</v>
      </c>
      <c r="C89" s="26" t="s">
        <v>553</v>
      </c>
      <c r="D89" s="26" t="s">
        <v>548</v>
      </c>
      <c r="E89" s="43" t="s">
        <v>185</v>
      </c>
      <c r="F89" s="43"/>
      <c r="G89" s="34" t="s">
        <v>584</v>
      </c>
      <c r="H89" s="34" t="s">
        <v>585</v>
      </c>
      <c r="I89" s="124">
        <v>44936</v>
      </c>
      <c r="J89" s="125" t="s">
        <v>576</v>
      </c>
      <c r="K89" s="125" t="s">
        <v>577</v>
      </c>
      <c r="L89" s="26" t="s">
        <v>550</v>
      </c>
      <c r="M89" s="26"/>
      <c r="R89" s="167">
        <f t="shared" si="9"/>
        <v>3</v>
      </c>
      <c r="S89" s="167">
        <f t="shared" si="10"/>
        <v>3</v>
      </c>
      <c r="T89" s="167">
        <f t="shared" si="11"/>
        <v>4</v>
      </c>
    </row>
    <row r="90" spans="1:20" s="25" customFormat="1" ht="168" x14ac:dyDescent="0.15">
      <c r="A90" s="52" t="str">
        <f ca="1">IF(B90&lt;&gt;"",表紙!$AB$1&amp;"-"&amp;"結合-"&amp;TEXT($S$1,"00")&amp;"-"&amp;TEXT(R90,"00")&amp;"-"&amp;TEXT(S90,"00")&amp;"-"&amp;TEXT(T90,"０00"),"")</f>
        <v>線分-結合-01-03-04-001</v>
      </c>
      <c r="B90" s="26" t="s">
        <v>554</v>
      </c>
      <c r="C90" s="26" t="s">
        <v>558</v>
      </c>
      <c r="D90" s="26" t="s">
        <v>545</v>
      </c>
      <c r="E90" s="43" t="s">
        <v>185</v>
      </c>
      <c r="F90" s="43"/>
      <c r="G90" s="34" t="s">
        <v>555</v>
      </c>
      <c r="H90" s="34" t="s">
        <v>586</v>
      </c>
      <c r="I90" s="27">
        <v>44937</v>
      </c>
      <c r="J90" s="28" t="s">
        <v>576</v>
      </c>
      <c r="K90" s="125" t="s">
        <v>577</v>
      </c>
      <c r="L90" s="26" t="s">
        <v>559</v>
      </c>
      <c r="M90" s="26"/>
      <c r="R90" s="167">
        <f t="shared" si="9"/>
        <v>3</v>
      </c>
      <c r="S90" s="167">
        <f t="shared" si="10"/>
        <v>4</v>
      </c>
      <c r="T90" s="167">
        <f t="shared" si="11"/>
        <v>1</v>
      </c>
    </row>
    <row r="91" spans="1:20" s="25" customFormat="1" ht="168" x14ac:dyDescent="0.15">
      <c r="A91" s="52" t="str">
        <f ca="1">IF(B91&lt;&gt;"",表紙!$AB$1&amp;"-"&amp;"結合-"&amp;TEXT($S$1,"00")&amp;"-"&amp;TEXT(R91,"00")&amp;"-"&amp;TEXT(S91,"00")&amp;"-"&amp;TEXT(T91,"０00"),"")</f>
        <v>線分-結合-01-03-04-002</v>
      </c>
      <c r="B91" s="26" t="s">
        <v>554</v>
      </c>
      <c r="C91" s="26" t="s">
        <v>558</v>
      </c>
      <c r="D91" s="26" t="s">
        <v>546</v>
      </c>
      <c r="E91" s="43" t="s">
        <v>185</v>
      </c>
      <c r="F91" s="43"/>
      <c r="G91" s="34" t="s">
        <v>556</v>
      </c>
      <c r="H91" s="34" t="s">
        <v>587</v>
      </c>
      <c r="I91" s="27">
        <v>44937</v>
      </c>
      <c r="J91" s="28" t="s">
        <v>578</v>
      </c>
      <c r="K91" s="28" t="s">
        <v>579</v>
      </c>
      <c r="L91" s="26" t="s">
        <v>550</v>
      </c>
      <c r="M91" s="26"/>
      <c r="R91" s="167">
        <f t="shared" si="9"/>
        <v>3</v>
      </c>
      <c r="S91" s="167">
        <f t="shared" si="10"/>
        <v>4</v>
      </c>
      <c r="T91" s="167">
        <f t="shared" si="11"/>
        <v>2</v>
      </c>
    </row>
    <row r="92" spans="1:20" s="25" customFormat="1" ht="21" x14ac:dyDescent="0.15">
      <c r="A92" s="52" t="str">
        <f ca="1">IF(B92&lt;&gt;"",表紙!$AB$1&amp;"-"&amp;"結合-"&amp;TEXT($S$1,"00")&amp;"-"&amp;TEXT(R92,"00")&amp;"-"&amp;TEXT(S92,"00")&amp;"-"&amp;TEXT(T92,"０00"),"")</f>
        <v>線分-結合-01-03-04-003</v>
      </c>
      <c r="B92" s="26" t="s">
        <v>554</v>
      </c>
      <c r="C92" s="26" t="s">
        <v>558</v>
      </c>
      <c r="D92" s="26" t="s">
        <v>547</v>
      </c>
      <c r="E92" s="43" t="s">
        <v>185</v>
      </c>
      <c r="F92" s="43"/>
      <c r="G92" s="34"/>
      <c r="H92" s="34"/>
      <c r="I92" s="27"/>
      <c r="J92" s="28"/>
      <c r="K92" s="28"/>
      <c r="L92" s="26" t="s">
        <v>550</v>
      </c>
      <c r="M92" s="26" t="str">
        <f ca="1">$A$91</f>
        <v>線分-結合-01-03-04-002</v>
      </c>
      <c r="R92" s="167">
        <f t="shared" si="9"/>
        <v>3</v>
      </c>
      <c r="S92" s="167">
        <f t="shared" si="10"/>
        <v>4</v>
      </c>
      <c r="T92" s="167">
        <f t="shared" si="11"/>
        <v>3</v>
      </c>
    </row>
    <row r="93" spans="1:20" s="25" customFormat="1" ht="168" x14ac:dyDescent="0.15">
      <c r="A93" s="52" t="str">
        <f ca="1">IF(B93&lt;&gt;"",表紙!$AB$1&amp;"-"&amp;"結合-"&amp;TEXT($S$1,"00")&amp;"-"&amp;TEXT(R93,"00")&amp;"-"&amp;TEXT(S93,"00")&amp;"-"&amp;TEXT(T93,"０00"),"")</f>
        <v>線分-結合-01-03-04-004</v>
      </c>
      <c r="B93" s="26" t="s">
        <v>554</v>
      </c>
      <c r="C93" s="26" t="s">
        <v>558</v>
      </c>
      <c r="D93" s="26" t="s">
        <v>548</v>
      </c>
      <c r="E93" s="43" t="s">
        <v>185</v>
      </c>
      <c r="F93" s="43"/>
      <c r="G93" s="34" t="s">
        <v>557</v>
      </c>
      <c r="H93" s="34" t="s">
        <v>588</v>
      </c>
      <c r="I93" s="27">
        <v>44937</v>
      </c>
      <c r="J93" s="28" t="s">
        <v>578</v>
      </c>
      <c r="K93" s="28" t="s">
        <v>579</v>
      </c>
      <c r="L93" s="26" t="s">
        <v>550</v>
      </c>
      <c r="M93" s="26"/>
      <c r="R93" s="167">
        <f t="shared" si="9"/>
        <v>3</v>
      </c>
      <c r="S93" s="167">
        <f t="shared" si="10"/>
        <v>4</v>
      </c>
      <c r="T93" s="167">
        <f t="shared" si="11"/>
        <v>4</v>
      </c>
    </row>
    <row r="94" spans="1:20" s="25" customFormat="1" ht="13.5" x14ac:dyDescent="0.15">
      <c r="A94" s="52" t="str">
        <f>IF(B94&lt;&gt;"",表紙!$AB$1&amp;"-"&amp;"結合-"&amp;TEXT($S$1,"00")&amp;"-"&amp;TEXT(R94,"00")&amp;"-"&amp;TEXT(S94,"00")&amp;"-"&amp;TEXT(T94,"０00"),"")</f>
        <v/>
      </c>
      <c r="B94" s="26"/>
      <c r="C94" s="26"/>
      <c r="D94" s="26"/>
      <c r="E94" s="43"/>
      <c r="F94" s="43"/>
      <c r="G94" s="34"/>
      <c r="H94" s="34"/>
      <c r="I94" s="27"/>
      <c r="J94" s="28"/>
      <c r="K94" s="28"/>
      <c r="L94" s="26"/>
      <c r="M94" s="26"/>
      <c r="R94" s="167">
        <f t="shared" si="9"/>
        <v>4</v>
      </c>
      <c r="S94" s="167">
        <f t="shared" si="10"/>
        <v>1</v>
      </c>
      <c r="T94" s="167">
        <f t="shared" si="11"/>
        <v>1</v>
      </c>
    </row>
    <row r="95" spans="1:20" s="25" customFormat="1" ht="13.5" x14ac:dyDescent="0.15">
      <c r="A95" s="52" t="str">
        <f>IF(B95&lt;&gt;"",表紙!$AB$1&amp;"-"&amp;"結合-"&amp;TEXT($S$1,"00")&amp;"-"&amp;TEXT(R95,"00")&amp;"-"&amp;TEXT(S95,"00")&amp;"-"&amp;TEXT(T95,"０00"),"")</f>
        <v/>
      </c>
      <c r="B95" s="26"/>
      <c r="C95" s="26"/>
      <c r="D95" s="26"/>
      <c r="E95" s="43"/>
      <c r="F95" s="43"/>
      <c r="G95" s="34"/>
      <c r="H95" s="34"/>
      <c r="I95" s="27"/>
      <c r="J95" s="28"/>
      <c r="K95" s="28"/>
      <c r="L95" s="26"/>
      <c r="M95" s="26"/>
      <c r="R95" s="167">
        <f t="shared" si="9"/>
        <v>4</v>
      </c>
      <c r="S95" s="167">
        <f t="shared" si="10"/>
        <v>1</v>
      </c>
      <c r="T95" s="167">
        <f t="shared" si="11"/>
        <v>2</v>
      </c>
    </row>
    <row r="96" spans="1:20" s="25" customFormat="1" ht="13.5" x14ac:dyDescent="0.15">
      <c r="A96" s="52" t="str">
        <f>IF(B96&lt;&gt;"",表紙!$AB$1&amp;"-"&amp;"結合-"&amp;TEXT($S$1,"00")&amp;"-"&amp;TEXT(R96,"00")&amp;"-"&amp;TEXT(S96,"00")&amp;"-"&amp;TEXT(T96,"０00"),"")</f>
        <v/>
      </c>
      <c r="B96" s="26"/>
      <c r="C96" s="26"/>
      <c r="D96" s="26"/>
      <c r="E96" s="43"/>
      <c r="F96" s="43"/>
      <c r="G96" s="34"/>
      <c r="H96" s="34"/>
      <c r="I96" s="27"/>
      <c r="J96" s="28"/>
      <c r="K96" s="28"/>
      <c r="L96" s="26"/>
      <c r="M96" s="26"/>
      <c r="R96" s="167">
        <f t="shared" si="9"/>
        <v>4</v>
      </c>
      <c r="S96" s="167">
        <f t="shared" si="10"/>
        <v>1</v>
      </c>
      <c r="T96" s="167">
        <f t="shared" si="11"/>
        <v>3</v>
      </c>
    </row>
    <row r="97" spans="1:20" s="25" customFormat="1" ht="13.5" x14ac:dyDescent="0.15">
      <c r="A97" s="52" t="str">
        <f>IF(B97&lt;&gt;"",表紙!$AB$1&amp;"-"&amp;"結合-"&amp;TEXT($S$1,"00")&amp;"-"&amp;TEXT(R97,"00")&amp;"-"&amp;TEXT(S97,"00")&amp;"-"&amp;TEXT(T97,"０00"),"")</f>
        <v/>
      </c>
      <c r="B97" s="26"/>
      <c r="C97" s="26"/>
      <c r="D97" s="26"/>
      <c r="E97" s="43"/>
      <c r="F97" s="43"/>
      <c r="G97" s="34"/>
      <c r="H97" s="34"/>
      <c r="I97" s="27"/>
      <c r="J97" s="28"/>
      <c r="K97" s="28"/>
      <c r="L97" s="26"/>
      <c r="M97" s="26"/>
      <c r="R97" s="167">
        <f t="shared" si="9"/>
        <v>4</v>
      </c>
      <c r="S97" s="167">
        <f t="shared" si="10"/>
        <v>1</v>
      </c>
      <c r="T97" s="167">
        <f t="shared" si="11"/>
        <v>4</v>
      </c>
    </row>
    <row r="98" spans="1:20" s="25" customFormat="1" ht="13.5" x14ac:dyDescent="0.15">
      <c r="A98" s="52" t="str">
        <f>IF(B98&lt;&gt;"",表紙!$AB$1&amp;"-"&amp;"結合-"&amp;TEXT($S$1,"00")&amp;"-"&amp;TEXT(R98,"00")&amp;"-"&amp;TEXT(S98,"00")&amp;"-"&amp;TEXT(T98,"０00"),"")</f>
        <v/>
      </c>
      <c r="B98" s="26"/>
      <c r="C98" s="26"/>
      <c r="D98" s="26"/>
      <c r="E98" s="43"/>
      <c r="F98" s="43"/>
      <c r="G98" s="34"/>
      <c r="H98" s="34"/>
      <c r="I98" s="27"/>
      <c r="J98" s="28"/>
      <c r="K98" s="28"/>
      <c r="L98" s="26"/>
      <c r="M98" s="26"/>
      <c r="R98" s="167">
        <f t="shared" si="9"/>
        <v>4</v>
      </c>
      <c r="S98" s="167">
        <f t="shared" si="10"/>
        <v>1</v>
      </c>
      <c r="T98" s="167">
        <f t="shared" si="11"/>
        <v>5</v>
      </c>
    </row>
    <row r="99" spans="1:20" s="25" customFormat="1" ht="13.5" x14ac:dyDescent="0.15">
      <c r="A99" s="52" t="str">
        <f>IF(B99&lt;&gt;"",表紙!$AB$1&amp;"-"&amp;"結合-"&amp;TEXT($S$1,"00")&amp;"-"&amp;TEXT(R99,"00")&amp;"-"&amp;TEXT(S99,"00")&amp;"-"&amp;TEXT(T99,"０00"),"")</f>
        <v/>
      </c>
      <c r="B99" s="26"/>
      <c r="C99" s="26"/>
      <c r="D99" s="26"/>
      <c r="E99" s="43"/>
      <c r="F99" s="43"/>
      <c r="G99" s="34"/>
      <c r="H99" s="34"/>
      <c r="I99" s="27"/>
      <c r="J99" s="28"/>
      <c r="K99" s="28"/>
      <c r="L99" s="26"/>
      <c r="M99" s="26"/>
      <c r="R99" s="167">
        <f t="shared" si="9"/>
        <v>4</v>
      </c>
      <c r="S99" s="167">
        <f t="shared" si="10"/>
        <v>1</v>
      </c>
      <c r="T99" s="167">
        <f t="shared" si="11"/>
        <v>6</v>
      </c>
    </row>
    <row r="100" spans="1:20" s="25" customFormat="1" ht="13.5" x14ac:dyDescent="0.15">
      <c r="A100" s="52" t="str">
        <f>IF(B100&lt;&gt;"",表紙!$AB$1&amp;"-"&amp;"結合-"&amp;TEXT($S$1,"00")&amp;"-"&amp;TEXT(R100,"00")&amp;"-"&amp;TEXT(S100,"00")&amp;"-"&amp;TEXT(T100,"０00"),"")</f>
        <v/>
      </c>
      <c r="B100" s="26"/>
      <c r="C100" s="26"/>
      <c r="D100" s="26"/>
      <c r="E100" s="43"/>
      <c r="F100" s="43"/>
      <c r="G100" s="34"/>
      <c r="H100" s="34"/>
      <c r="I100" s="27"/>
      <c r="J100" s="28"/>
      <c r="K100" s="28"/>
      <c r="L100" s="26"/>
      <c r="M100" s="26"/>
      <c r="R100" s="167">
        <f t="shared" si="9"/>
        <v>4</v>
      </c>
      <c r="S100" s="167">
        <f t="shared" si="10"/>
        <v>1</v>
      </c>
      <c r="T100" s="167">
        <f t="shared" si="11"/>
        <v>7</v>
      </c>
    </row>
    <row r="101" spans="1:20" s="25" customFormat="1" ht="13.5" x14ac:dyDescent="0.15">
      <c r="A101" s="52" t="str">
        <f>IF(B101&lt;&gt;"",表紙!$AB$1&amp;"-"&amp;"結合-"&amp;TEXT($S$1,"00")&amp;"-"&amp;TEXT(R101,"00")&amp;"-"&amp;TEXT(S101,"00")&amp;"-"&amp;TEXT(T101,"０00"),"")</f>
        <v/>
      </c>
      <c r="B101" s="26"/>
      <c r="C101" s="26"/>
      <c r="D101" s="26"/>
      <c r="E101" s="43"/>
      <c r="F101" s="43"/>
      <c r="G101" s="34"/>
      <c r="H101" s="34"/>
      <c r="I101" s="27"/>
      <c r="J101" s="28"/>
      <c r="K101" s="28"/>
      <c r="L101" s="26"/>
      <c r="M101" s="26"/>
      <c r="R101" s="167">
        <f t="shared" si="9"/>
        <v>4</v>
      </c>
      <c r="S101" s="167">
        <f t="shared" si="10"/>
        <v>1</v>
      </c>
      <c r="T101" s="167">
        <f t="shared" si="11"/>
        <v>8</v>
      </c>
    </row>
    <row r="102" spans="1:20" s="25" customFormat="1" ht="13.5" x14ac:dyDescent="0.15">
      <c r="A102" s="52" t="str">
        <f>IF(B102&lt;&gt;"",表紙!$AB$1&amp;"-"&amp;"結合-"&amp;TEXT($S$1,"00")&amp;"-"&amp;TEXT(R102,"00")&amp;"-"&amp;TEXT(S102,"00")&amp;"-"&amp;TEXT(T102,"０00"),"")</f>
        <v/>
      </c>
      <c r="B102" s="26"/>
      <c r="C102" s="26"/>
      <c r="D102" s="26"/>
      <c r="E102" s="43"/>
      <c r="F102" s="43"/>
      <c r="G102" s="34"/>
      <c r="H102" s="34"/>
      <c r="I102" s="27"/>
      <c r="J102" s="28"/>
      <c r="K102" s="28"/>
      <c r="L102" s="26"/>
      <c r="M102" s="26"/>
      <c r="R102" s="167">
        <f t="shared" si="9"/>
        <v>4</v>
      </c>
      <c r="S102" s="167">
        <f t="shared" si="10"/>
        <v>1</v>
      </c>
      <c r="T102" s="167">
        <f t="shared" si="11"/>
        <v>9</v>
      </c>
    </row>
    <row r="103" spans="1:20" s="25" customFormat="1" ht="13.5" x14ac:dyDescent="0.15">
      <c r="A103" s="52" t="str">
        <f>IF(B103&lt;&gt;"",表紙!$AB$1&amp;"-"&amp;"結合-"&amp;TEXT($S$1,"00")&amp;"-"&amp;TEXT(R103,"00")&amp;"-"&amp;TEXT(S103,"00")&amp;"-"&amp;TEXT(T103,"０00"),"")</f>
        <v/>
      </c>
      <c r="B103" s="26"/>
      <c r="C103" s="26"/>
      <c r="D103" s="26"/>
      <c r="E103" s="43"/>
      <c r="F103" s="43"/>
      <c r="G103" s="34"/>
      <c r="H103" s="34"/>
      <c r="I103" s="27"/>
      <c r="J103" s="28"/>
      <c r="K103" s="28"/>
      <c r="L103" s="26"/>
      <c r="M103" s="26"/>
      <c r="R103" s="167">
        <f t="shared" si="9"/>
        <v>4</v>
      </c>
      <c r="S103" s="167">
        <f t="shared" si="10"/>
        <v>1</v>
      </c>
      <c r="T103" s="167">
        <f t="shared" si="11"/>
        <v>10</v>
      </c>
    </row>
    <row r="104" spans="1:20" s="25" customFormat="1" ht="13.5" x14ac:dyDescent="0.15">
      <c r="A104" s="52" t="str">
        <f>IF(B104&lt;&gt;"",表紙!$AB$1&amp;"-"&amp;"結合-"&amp;TEXT($S$1,"00")&amp;"-"&amp;TEXT(R104,"00")&amp;"-"&amp;TEXT(S104,"00")&amp;"-"&amp;TEXT(T104,"０00"),"")</f>
        <v/>
      </c>
      <c r="B104" s="26"/>
      <c r="C104" s="26"/>
      <c r="D104" s="26"/>
      <c r="E104" s="43"/>
      <c r="F104" s="43"/>
      <c r="G104" s="34"/>
      <c r="H104" s="34"/>
      <c r="I104" s="27"/>
      <c r="J104" s="28"/>
      <c r="K104" s="28"/>
      <c r="L104" s="26"/>
      <c r="M104" s="26"/>
      <c r="R104" s="167">
        <f t="shared" si="9"/>
        <v>4</v>
      </c>
      <c r="S104" s="167">
        <f t="shared" si="10"/>
        <v>1</v>
      </c>
      <c r="T104" s="167">
        <f t="shared" si="11"/>
        <v>11</v>
      </c>
    </row>
    <row r="105" spans="1:20" s="25" customFormat="1" ht="13.5" x14ac:dyDescent="0.15">
      <c r="A105" s="52" t="str">
        <f>IF(B105&lt;&gt;"",表紙!$AB$1&amp;"-"&amp;"結合-"&amp;TEXT($S$1,"00")&amp;"-"&amp;TEXT(R105,"00")&amp;"-"&amp;TEXT(S105,"00")&amp;"-"&amp;TEXT(T105,"０00"),"")</f>
        <v/>
      </c>
      <c r="B105" s="26"/>
      <c r="C105" s="26"/>
      <c r="D105" s="26"/>
      <c r="E105" s="43"/>
      <c r="F105" s="43"/>
      <c r="G105" s="34"/>
      <c r="H105" s="34"/>
      <c r="I105" s="27"/>
      <c r="J105" s="28"/>
      <c r="K105" s="28"/>
      <c r="L105" s="26"/>
      <c r="M105" s="26"/>
      <c r="R105" s="167">
        <f t="shared" si="9"/>
        <v>4</v>
      </c>
      <c r="S105" s="167">
        <f t="shared" si="10"/>
        <v>1</v>
      </c>
      <c r="T105" s="167">
        <f t="shared" si="11"/>
        <v>12</v>
      </c>
    </row>
    <row r="106" spans="1:20" s="25" customFormat="1" ht="13.5" x14ac:dyDescent="0.15">
      <c r="A106" s="52" t="str">
        <f>IF(B106&lt;&gt;"",表紙!$AB$1&amp;"-"&amp;"結合-"&amp;TEXT($S$1,"00")&amp;"-"&amp;TEXT(R106,"00")&amp;"-"&amp;TEXT(S106,"00")&amp;"-"&amp;TEXT(T106,"０00"),"")</f>
        <v/>
      </c>
      <c r="B106" s="26"/>
      <c r="C106" s="26"/>
      <c r="D106" s="26"/>
      <c r="E106" s="43"/>
      <c r="F106" s="43"/>
      <c r="G106" s="34"/>
      <c r="H106" s="34"/>
      <c r="I106" s="27"/>
      <c r="J106" s="28"/>
      <c r="K106" s="28"/>
      <c r="L106" s="26"/>
      <c r="M106" s="26"/>
      <c r="R106" s="167">
        <f t="shared" si="9"/>
        <v>4</v>
      </c>
      <c r="S106" s="167">
        <f t="shared" si="10"/>
        <v>1</v>
      </c>
      <c r="T106" s="167">
        <f t="shared" si="11"/>
        <v>13</v>
      </c>
    </row>
    <row r="107" spans="1:20" s="25" customFormat="1" ht="13.5" x14ac:dyDescent="0.15">
      <c r="A107" s="52" t="str">
        <f>IF(B107&lt;&gt;"",表紙!$AB$1&amp;"-"&amp;"結合-"&amp;TEXT($S$1,"00")&amp;"-"&amp;TEXT(R107,"00")&amp;"-"&amp;TEXT(S107,"00")&amp;"-"&amp;TEXT(T107,"０00"),"")</f>
        <v/>
      </c>
      <c r="B107" s="26"/>
      <c r="C107" s="26"/>
      <c r="D107" s="26"/>
      <c r="E107" s="43"/>
      <c r="F107" s="43"/>
      <c r="G107" s="34"/>
      <c r="H107" s="34"/>
      <c r="I107" s="27"/>
      <c r="J107" s="28"/>
      <c r="K107" s="28"/>
      <c r="L107" s="26"/>
      <c r="M107" s="26"/>
      <c r="R107" s="167">
        <f t="shared" si="9"/>
        <v>4</v>
      </c>
      <c r="S107" s="167">
        <f t="shared" si="10"/>
        <v>1</v>
      </c>
      <c r="T107" s="167">
        <f t="shared" si="11"/>
        <v>14</v>
      </c>
    </row>
    <row r="110" spans="1:20" x14ac:dyDescent="0.15">
      <c r="I110" s="19"/>
      <c r="J110" s="19"/>
      <c r="K110" s="19"/>
      <c r="L110" s="20"/>
      <c r="M110" s="20"/>
    </row>
    <row r="111" spans="1:20" x14ac:dyDescent="0.15">
      <c r="E111" s="19" t="s">
        <v>35</v>
      </c>
      <c r="F111" s="19">
        <f>COUNTIF($F$3:$F$107,E111)</f>
        <v>0</v>
      </c>
      <c r="I111" s="19"/>
      <c r="J111" s="19"/>
      <c r="K111" s="19"/>
      <c r="L111" s="20"/>
      <c r="M111" s="20"/>
    </row>
    <row r="112" spans="1:20" x14ac:dyDescent="0.15">
      <c r="E112" s="19" t="s">
        <v>36</v>
      </c>
      <c r="F112" s="19">
        <f>COUNTIF($F$3:$F$107,E112)</f>
        <v>0</v>
      </c>
      <c r="I112" s="19"/>
      <c r="J112" s="19"/>
      <c r="K112" s="19"/>
      <c r="L112" s="20"/>
      <c r="M112" s="20"/>
    </row>
    <row r="113" spans="5:6" x14ac:dyDescent="0.15">
      <c r="E113" s="19" t="s">
        <v>37</v>
      </c>
      <c r="F113" s="19">
        <f>COUNTIF($F$3:$F$107,E113)</f>
        <v>0</v>
      </c>
    </row>
  </sheetData>
  <autoFilter ref="A2:M107" xr:uid="{00000000-0001-0000-0300-000000000000}"/>
  <phoneticPr fontId="3"/>
  <conditionalFormatting sqref="R3:T107">
    <cfRule type="expression" dxfId="5" priority="56" stopIfTrue="1">
      <formula>IF(#REF!="○",TRUE,FALSE)</formula>
    </cfRule>
  </conditionalFormatting>
  <conditionalFormatting sqref="E3:E107">
    <cfRule type="expression" dxfId="4" priority="47">
      <formula>$M3&lt;&gt;""</formula>
    </cfRule>
  </conditionalFormatting>
  <conditionalFormatting sqref="A3:M79 A94:M107 A80:H93 L80:M93">
    <cfRule type="expression" dxfId="3" priority="33">
      <formula>$M3&lt;&gt;""</formula>
    </cfRule>
  </conditionalFormatting>
  <conditionalFormatting sqref="I80:K90">
    <cfRule type="expression" dxfId="2" priority="3">
      <formula>$M80&lt;&gt;""</formula>
    </cfRule>
  </conditionalFormatting>
  <conditionalFormatting sqref="I91:K92">
    <cfRule type="expression" dxfId="1" priority="2">
      <formula>$M91&lt;&gt;""</formula>
    </cfRule>
  </conditionalFormatting>
  <conditionalFormatting sqref="I93:K93">
    <cfRule type="expression" dxfId="0" priority="1">
      <formula>$M93&lt;&gt;""</formula>
    </cfRule>
  </conditionalFormatting>
  <dataValidations count="2">
    <dataValidation type="list" allowBlank="1" showInputMessage="1" showErrorMessage="1" sqref="E3:E107" xr:uid="{734A6667-EDD6-4F75-90E2-F23A6D7D2932}">
      <formula1>"正常,準正常,異常"</formula1>
    </dataValidation>
    <dataValidation type="list" allowBlank="1" showInputMessage="1" showErrorMessage="1" sqref="F3:F107" xr:uid="{4AAE7993-4B14-4230-B7C9-7F65F3354B67}">
      <formula1>"A,B,C"</formula1>
    </dataValidation>
  </dataValidations>
  <printOptions horizontalCentered="1"/>
  <pageMargins left="0.39370078740157483" right="0.39370078740157483" top="0.39370078740157483" bottom="0.39370078740157483" header="0" footer="0"/>
  <pageSetup paperSize="9" scale="59" fitToHeight="25" orientation="landscape" r:id="rId1"/>
  <headerFooter alignWithMargins="0">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42F10-58B4-4A96-B272-19F669524761}">
  <dimension ref="A1:K55"/>
  <sheetViews>
    <sheetView showGridLines="0" workbookViewId="0">
      <selection activeCell="D26" sqref="D26:I26"/>
    </sheetView>
  </sheetViews>
  <sheetFormatPr defaultRowHeight="13.5" x14ac:dyDescent="0.15"/>
  <cols>
    <col min="1" max="1" width="2.625" customWidth="1"/>
    <col min="2" max="2" width="2.75" customWidth="1"/>
    <col min="4" max="11" width="11.375" bestFit="1" customWidth="1"/>
  </cols>
  <sheetData>
    <row r="1" spans="1:11" x14ac:dyDescent="0.15">
      <c r="A1" s="113" t="s">
        <v>43</v>
      </c>
      <c r="B1" s="73"/>
      <c r="C1" s="74"/>
      <c r="D1" s="74"/>
      <c r="E1" s="74"/>
    </row>
    <row r="3" spans="1:11" x14ac:dyDescent="0.15">
      <c r="B3" s="114" t="s">
        <v>301</v>
      </c>
    </row>
    <row r="4" spans="1:11" x14ac:dyDescent="0.15">
      <c r="C4" t="s">
        <v>45</v>
      </c>
    </row>
    <row r="5" spans="1:11" x14ac:dyDescent="0.15">
      <c r="B5" s="149"/>
      <c r="C5" s="150"/>
      <c r="D5" s="153" t="s">
        <v>46</v>
      </c>
      <c r="E5" s="153"/>
      <c r="F5" s="153"/>
      <c r="G5" s="153"/>
      <c r="H5" s="153"/>
      <c r="I5" s="153"/>
      <c r="J5" s="153"/>
      <c r="K5" s="153"/>
    </row>
    <row r="6" spans="1:11" ht="17.25" customHeight="1" x14ac:dyDescent="0.15">
      <c r="B6" s="151"/>
      <c r="C6" s="152"/>
      <c r="D6" s="75" t="s">
        <v>47</v>
      </c>
      <c r="E6" s="75" t="s">
        <v>48</v>
      </c>
      <c r="F6" s="75" t="s">
        <v>49</v>
      </c>
      <c r="G6" s="75" t="s">
        <v>50</v>
      </c>
      <c r="H6" s="75" t="s">
        <v>51</v>
      </c>
      <c r="I6" s="75" t="s">
        <v>52</v>
      </c>
      <c r="J6" s="75" t="s">
        <v>53</v>
      </c>
      <c r="K6" s="75" t="s">
        <v>54</v>
      </c>
    </row>
    <row r="7" spans="1:11" ht="30" customHeight="1" x14ac:dyDescent="0.15">
      <c r="B7" s="154" t="s">
        <v>55</v>
      </c>
      <c r="C7" s="76" t="s">
        <v>47</v>
      </c>
      <c r="D7" s="77" t="s">
        <v>56</v>
      </c>
      <c r="E7" s="78" t="str">
        <f t="shared" ref="E7:K7" si="0">"始点: "&amp;$C7&amp;"
終点: "&amp;E$6</f>
        <v>始点: (0,0,0)
終点: (1,0,0)</v>
      </c>
      <c r="F7" s="78" t="str">
        <f t="shared" si="0"/>
        <v>始点: (0,0,0)
終点: (0,1,0)</v>
      </c>
      <c r="G7" s="78" t="str">
        <f t="shared" si="0"/>
        <v>始点: (0,0,0)
終点: (0,0,1)</v>
      </c>
      <c r="H7" s="78" t="str">
        <f t="shared" si="0"/>
        <v>始点: (0,0,0)
終点: (1,1,0)</v>
      </c>
      <c r="I7" s="78" t="str">
        <f t="shared" si="0"/>
        <v>始点: (0,0,0)
終点: (0,1,1)</v>
      </c>
      <c r="J7" s="78" t="str">
        <f t="shared" si="0"/>
        <v>始点: (0,0,0)
終点: (1,0,1)</v>
      </c>
      <c r="K7" s="78" t="str">
        <f t="shared" si="0"/>
        <v>始点: (0,0,0)
終点: (1,1,1)</v>
      </c>
    </row>
    <row r="8" spans="1:11" ht="30" customHeight="1" x14ac:dyDescent="0.15">
      <c r="B8" s="154"/>
      <c r="C8" s="76" t="s">
        <v>48</v>
      </c>
      <c r="D8" s="78" t="str">
        <f t="shared" ref="D8:D14" si="1">"始点: "&amp;$C8&amp;"
終点: "&amp;D$6</f>
        <v>始点: (1,0,0)
終点: (0,0,0)</v>
      </c>
      <c r="E8" s="77" t="s">
        <v>56</v>
      </c>
      <c r="F8" s="78" t="str">
        <f t="shared" ref="F8:K8" si="2">"始点: "&amp;$C8&amp;"
終点: "&amp;F$6</f>
        <v>始点: (1,0,0)
終点: (0,1,0)</v>
      </c>
      <c r="G8" s="78" t="str">
        <f t="shared" si="2"/>
        <v>始点: (1,0,0)
終点: (0,0,1)</v>
      </c>
      <c r="H8" s="78" t="str">
        <f t="shared" si="2"/>
        <v>始点: (1,0,0)
終点: (1,1,0)</v>
      </c>
      <c r="I8" s="78" t="str">
        <f t="shared" si="2"/>
        <v>始点: (1,0,0)
終点: (0,1,1)</v>
      </c>
      <c r="J8" s="78" t="str">
        <f t="shared" si="2"/>
        <v>始点: (1,0,0)
終点: (1,0,1)</v>
      </c>
      <c r="K8" s="78" t="str">
        <f t="shared" si="2"/>
        <v>始点: (1,0,0)
終点: (1,1,1)</v>
      </c>
    </row>
    <row r="9" spans="1:11" ht="30" customHeight="1" x14ac:dyDescent="0.15">
      <c r="B9" s="154"/>
      <c r="C9" s="76" t="s">
        <v>49</v>
      </c>
      <c r="D9" s="78" t="str">
        <f t="shared" si="1"/>
        <v>始点: (0,1,0)
終点: (0,0,0)</v>
      </c>
      <c r="E9" s="78" t="str">
        <f t="shared" ref="E9:E14" si="3">"始点: "&amp;$C9&amp;"
終点: "&amp;E$6</f>
        <v>始点: (0,1,0)
終点: (1,0,0)</v>
      </c>
      <c r="F9" s="77" t="s">
        <v>56</v>
      </c>
      <c r="G9" s="78" t="str">
        <f>"始点: "&amp;$C9&amp;"
終点: "&amp;G$6</f>
        <v>始点: (0,1,0)
終点: (0,0,1)</v>
      </c>
      <c r="H9" s="78" t="str">
        <f>"始点: "&amp;$C9&amp;"
終点: "&amp;H$6</f>
        <v>始点: (0,1,0)
終点: (1,1,0)</v>
      </c>
      <c r="I9" s="78" t="str">
        <f>"始点: "&amp;$C9&amp;"
終点: "&amp;I$6</f>
        <v>始点: (0,1,0)
終点: (0,1,1)</v>
      </c>
      <c r="J9" s="78" t="str">
        <f>"始点: "&amp;$C9&amp;"
終点: "&amp;J$6</f>
        <v>始点: (0,1,0)
終点: (1,0,1)</v>
      </c>
      <c r="K9" s="78" t="str">
        <f>"始点: "&amp;$C9&amp;"
終点: "&amp;K$6</f>
        <v>始点: (0,1,0)
終点: (1,1,1)</v>
      </c>
    </row>
    <row r="10" spans="1:11" ht="30" customHeight="1" x14ac:dyDescent="0.15">
      <c r="B10" s="154"/>
      <c r="C10" s="76" t="s">
        <v>50</v>
      </c>
      <c r="D10" s="78" t="str">
        <f t="shared" si="1"/>
        <v>始点: (0,0,1)
終点: (0,0,0)</v>
      </c>
      <c r="E10" s="78" t="str">
        <f t="shared" si="3"/>
        <v>始点: (0,0,1)
終点: (1,0,0)</v>
      </c>
      <c r="F10" s="78" t="str">
        <f>"始点: "&amp;$C10&amp;"
終点: "&amp;F$6</f>
        <v>始点: (0,0,1)
終点: (0,1,0)</v>
      </c>
      <c r="G10" s="77" t="s">
        <v>56</v>
      </c>
      <c r="H10" s="78" t="str">
        <f>"始点: "&amp;$C10&amp;"
終点: "&amp;H$6</f>
        <v>始点: (0,0,1)
終点: (1,1,0)</v>
      </c>
      <c r="I10" s="78" t="str">
        <f>"始点: "&amp;$C10&amp;"
終点: "&amp;I$6</f>
        <v>始点: (0,0,1)
終点: (0,1,1)</v>
      </c>
      <c r="J10" s="78" t="str">
        <f>"始点: "&amp;$C10&amp;"
終点: "&amp;J$6</f>
        <v>始点: (0,0,1)
終点: (1,0,1)</v>
      </c>
      <c r="K10" s="78" t="str">
        <f>"始点: "&amp;$C10&amp;"
終点: "&amp;K$6</f>
        <v>始点: (0,0,1)
終点: (1,1,1)</v>
      </c>
    </row>
    <row r="11" spans="1:11" ht="30" customHeight="1" x14ac:dyDescent="0.15">
      <c r="B11" s="154"/>
      <c r="C11" s="76" t="s">
        <v>51</v>
      </c>
      <c r="D11" s="78" t="str">
        <f t="shared" si="1"/>
        <v>始点: (1,1,0)
終点: (0,0,0)</v>
      </c>
      <c r="E11" s="78" t="str">
        <f t="shared" si="3"/>
        <v>始点: (1,1,0)
終点: (1,0,0)</v>
      </c>
      <c r="F11" s="78" t="str">
        <f>"始点: "&amp;$C11&amp;"
終点: "&amp;F$6</f>
        <v>始点: (1,1,0)
終点: (0,1,0)</v>
      </c>
      <c r="G11" s="78" t="str">
        <f>"始点: "&amp;$C11&amp;"
終点: "&amp;G$6</f>
        <v>始点: (1,1,0)
終点: (0,0,1)</v>
      </c>
      <c r="H11" s="77" t="s">
        <v>56</v>
      </c>
      <c r="I11" s="78" t="str">
        <f>"始点: "&amp;$C11&amp;"
終点: "&amp;I$6</f>
        <v>始点: (1,1,0)
終点: (0,1,1)</v>
      </c>
      <c r="J11" s="78" t="str">
        <f>"始点: "&amp;$C11&amp;"
終点: "&amp;J$6</f>
        <v>始点: (1,1,0)
終点: (1,0,1)</v>
      </c>
      <c r="K11" s="78" t="str">
        <f>"始点: "&amp;$C11&amp;"
終点: "&amp;K$6</f>
        <v>始点: (1,1,0)
終点: (1,1,1)</v>
      </c>
    </row>
    <row r="12" spans="1:11" ht="30" customHeight="1" x14ac:dyDescent="0.15">
      <c r="B12" s="154"/>
      <c r="C12" s="76" t="s">
        <v>52</v>
      </c>
      <c r="D12" s="78" t="str">
        <f t="shared" si="1"/>
        <v>始点: (0,1,1)
終点: (0,0,0)</v>
      </c>
      <c r="E12" s="78" t="str">
        <f t="shared" si="3"/>
        <v>始点: (0,1,1)
終点: (1,0,0)</v>
      </c>
      <c r="F12" s="78" t="str">
        <f>"始点: "&amp;$C12&amp;"
終点: "&amp;F$6</f>
        <v>始点: (0,1,1)
終点: (0,1,0)</v>
      </c>
      <c r="G12" s="78" t="str">
        <f>"始点: "&amp;$C12&amp;"
終点: "&amp;G$6</f>
        <v>始点: (0,1,1)
終点: (0,0,1)</v>
      </c>
      <c r="H12" s="78" t="str">
        <f>"始点: "&amp;$C12&amp;"
終点: "&amp;H$6</f>
        <v>始点: (0,1,1)
終点: (1,1,0)</v>
      </c>
      <c r="I12" s="77" t="s">
        <v>56</v>
      </c>
      <c r="J12" s="78" t="str">
        <f>"始点: "&amp;$C12&amp;"
終点: "&amp;J$6</f>
        <v>始点: (0,1,1)
終点: (1,0,1)</v>
      </c>
      <c r="K12" s="78" t="str">
        <f>"始点: "&amp;$C12&amp;"
終点: "&amp;K$6</f>
        <v>始点: (0,1,1)
終点: (1,1,1)</v>
      </c>
    </row>
    <row r="13" spans="1:11" ht="30" customHeight="1" x14ac:dyDescent="0.15">
      <c r="B13" s="154"/>
      <c r="C13" s="76" t="s">
        <v>53</v>
      </c>
      <c r="D13" s="78" t="str">
        <f t="shared" si="1"/>
        <v>始点: (1,0,1)
終点: (0,0,0)</v>
      </c>
      <c r="E13" s="78" t="str">
        <f t="shared" si="3"/>
        <v>始点: (1,0,1)
終点: (1,0,0)</v>
      </c>
      <c r="F13" s="78" t="str">
        <f>"始点: "&amp;$C13&amp;"
終点: "&amp;F$6</f>
        <v>始点: (1,0,1)
終点: (0,1,0)</v>
      </c>
      <c r="G13" s="78" t="str">
        <f>"始点: "&amp;$C13&amp;"
終点: "&amp;G$6</f>
        <v>始点: (1,0,1)
終点: (0,0,1)</v>
      </c>
      <c r="H13" s="78" t="str">
        <f>"始点: "&amp;$C13&amp;"
終点: "&amp;H$6</f>
        <v>始点: (1,0,1)
終点: (1,1,0)</v>
      </c>
      <c r="I13" s="78" t="str">
        <f>"始点: "&amp;$C13&amp;"
終点: "&amp;I$6</f>
        <v>始点: (1,0,1)
終点: (0,1,1)</v>
      </c>
      <c r="J13" s="77" t="s">
        <v>56</v>
      </c>
      <c r="K13" s="78" t="str">
        <f>"始点: "&amp;$C13&amp;"
終点: "&amp;K$6</f>
        <v>始点: (1,0,1)
終点: (1,1,1)</v>
      </c>
    </row>
    <row r="14" spans="1:11" ht="30" customHeight="1" x14ac:dyDescent="0.15">
      <c r="B14" s="154"/>
      <c r="C14" s="76" t="s">
        <v>54</v>
      </c>
      <c r="D14" s="78" t="str">
        <f t="shared" si="1"/>
        <v>始点: (1,1,1)
終点: (0,0,0)</v>
      </c>
      <c r="E14" s="78" t="str">
        <f t="shared" si="3"/>
        <v>始点: (1,1,1)
終点: (1,0,0)</v>
      </c>
      <c r="F14" s="78" t="str">
        <f>"始点: "&amp;$C14&amp;"
終点: "&amp;F$6</f>
        <v>始点: (1,1,1)
終点: (0,1,0)</v>
      </c>
      <c r="G14" s="78" t="str">
        <f>"始点: "&amp;$C14&amp;"
終点: "&amp;G$6</f>
        <v>始点: (1,1,1)
終点: (0,0,1)</v>
      </c>
      <c r="H14" s="78" t="str">
        <f>"始点: "&amp;$C14&amp;"
終点: "&amp;H$6</f>
        <v>始点: (1,1,1)
終点: (1,1,0)</v>
      </c>
      <c r="I14" s="78" t="str">
        <f>"始点: "&amp;$C14&amp;"
終点: "&amp;I$6</f>
        <v>始点: (1,1,1)
終点: (0,1,1)</v>
      </c>
      <c r="J14" s="78" t="str">
        <f>"始点: "&amp;$C14&amp;"
終点: "&amp;J$6</f>
        <v>始点: (1,1,1)
終点: (1,0,1)</v>
      </c>
      <c r="K14" s="77" t="s">
        <v>56</v>
      </c>
    </row>
    <row r="16" spans="1:11" x14ac:dyDescent="0.15">
      <c r="B16" s="114" t="s">
        <v>300</v>
      </c>
      <c r="C16" s="115"/>
    </row>
    <row r="17" spans="3:9" x14ac:dyDescent="0.15">
      <c r="C17" s="79" t="s">
        <v>57</v>
      </c>
    </row>
    <row r="18" spans="3:9" x14ac:dyDescent="0.15">
      <c r="C18" s="80" t="s">
        <v>58</v>
      </c>
      <c r="D18" s="153" t="s">
        <v>59</v>
      </c>
      <c r="E18" s="153"/>
      <c r="F18" s="153"/>
      <c r="G18" s="153"/>
      <c r="H18" s="153"/>
      <c r="I18" s="153"/>
    </row>
    <row r="19" spans="3:9" x14ac:dyDescent="0.15">
      <c r="C19" s="108" t="s">
        <v>47</v>
      </c>
      <c r="D19" s="146" t="s">
        <v>405</v>
      </c>
      <c r="E19" s="147"/>
      <c r="F19" s="147"/>
      <c r="G19" s="147"/>
      <c r="H19" s="147"/>
      <c r="I19" s="148"/>
    </row>
    <row r="20" spans="3:9" x14ac:dyDescent="0.15">
      <c r="C20" s="80" t="s">
        <v>48</v>
      </c>
      <c r="D20" s="146" t="s">
        <v>406</v>
      </c>
      <c r="E20" s="147"/>
      <c r="F20" s="147"/>
      <c r="G20" s="147"/>
      <c r="H20" s="147"/>
      <c r="I20" s="148"/>
    </row>
    <row r="21" spans="3:9" x14ac:dyDescent="0.15">
      <c r="C21" s="80" t="s">
        <v>49</v>
      </c>
      <c r="D21" s="146" t="s">
        <v>407</v>
      </c>
      <c r="E21" s="147"/>
      <c r="F21" s="147"/>
      <c r="G21" s="147"/>
      <c r="H21" s="147"/>
      <c r="I21" s="148"/>
    </row>
    <row r="22" spans="3:9" x14ac:dyDescent="0.15">
      <c r="C22" s="80" t="s">
        <v>50</v>
      </c>
      <c r="D22" s="146" t="s">
        <v>408</v>
      </c>
      <c r="E22" s="147"/>
      <c r="F22" s="147"/>
      <c r="G22" s="147"/>
      <c r="H22" s="147"/>
      <c r="I22" s="148"/>
    </row>
    <row r="23" spans="3:9" x14ac:dyDescent="0.15">
      <c r="C23" s="80" t="s">
        <v>51</v>
      </c>
      <c r="D23" s="146" t="s">
        <v>409</v>
      </c>
      <c r="E23" s="147"/>
      <c r="F23" s="147"/>
      <c r="G23" s="147"/>
      <c r="H23" s="147"/>
      <c r="I23" s="148"/>
    </row>
    <row r="24" spans="3:9" x14ac:dyDescent="0.15">
      <c r="C24" s="80" t="s">
        <v>52</v>
      </c>
      <c r="D24" s="146" t="s">
        <v>410</v>
      </c>
      <c r="E24" s="147"/>
      <c r="F24" s="147"/>
      <c r="G24" s="147"/>
      <c r="H24" s="147"/>
      <c r="I24" s="148"/>
    </row>
    <row r="25" spans="3:9" x14ac:dyDescent="0.15">
      <c r="C25" s="80" t="s">
        <v>53</v>
      </c>
      <c r="D25" s="146" t="s">
        <v>411</v>
      </c>
      <c r="E25" s="147"/>
      <c r="F25" s="147"/>
      <c r="G25" s="147"/>
      <c r="H25" s="147"/>
      <c r="I25" s="148"/>
    </row>
    <row r="26" spans="3:9" x14ac:dyDescent="0.15">
      <c r="C26" s="80" t="s">
        <v>54</v>
      </c>
      <c r="D26" s="146" t="s">
        <v>412</v>
      </c>
      <c r="E26" s="147"/>
      <c r="F26" s="147"/>
      <c r="G26" s="147"/>
      <c r="H26" s="147"/>
      <c r="I26" s="148"/>
    </row>
    <row r="27" spans="3:9" x14ac:dyDescent="0.15">
      <c r="C27" s="79"/>
    </row>
    <row r="28" spans="3:9" x14ac:dyDescent="0.15">
      <c r="C28" s="79" t="s">
        <v>60</v>
      </c>
    </row>
    <row r="29" spans="3:9" x14ac:dyDescent="0.15">
      <c r="C29" s="79" t="s">
        <v>61</v>
      </c>
    </row>
    <row r="30" spans="3:9" x14ac:dyDescent="0.15">
      <c r="C30" s="79" t="s">
        <v>62</v>
      </c>
    </row>
    <row r="31" spans="3:9" x14ac:dyDescent="0.15">
      <c r="C31" s="79" t="s">
        <v>63</v>
      </c>
    </row>
    <row r="32" spans="3:9" x14ac:dyDescent="0.15">
      <c r="C32" s="79" t="s">
        <v>64</v>
      </c>
    </row>
    <row r="33" spans="3:3" x14ac:dyDescent="0.15">
      <c r="C33" s="79" t="s">
        <v>65</v>
      </c>
    </row>
    <row r="34" spans="3:3" x14ac:dyDescent="0.15">
      <c r="C34" s="79" t="s">
        <v>66</v>
      </c>
    </row>
    <row r="35" spans="3:3" x14ac:dyDescent="0.15">
      <c r="C35" s="79" t="s">
        <v>67</v>
      </c>
    </row>
    <row r="36" spans="3:3" x14ac:dyDescent="0.15">
      <c r="C36" s="79" t="s">
        <v>68</v>
      </c>
    </row>
    <row r="37" spans="3:3" x14ac:dyDescent="0.15">
      <c r="C37" s="79" t="s">
        <v>69</v>
      </c>
    </row>
    <row r="38" spans="3:3" x14ac:dyDescent="0.15">
      <c r="C38" s="79" t="s">
        <v>70</v>
      </c>
    </row>
    <row r="39" spans="3:3" x14ac:dyDescent="0.15">
      <c r="C39" s="79" t="s">
        <v>71</v>
      </c>
    </row>
    <row r="40" spans="3:3" x14ac:dyDescent="0.15">
      <c r="C40" s="79" t="s">
        <v>72</v>
      </c>
    </row>
    <row r="41" spans="3:3" x14ac:dyDescent="0.15">
      <c r="C41" s="79" t="s">
        <v>73</v>
      </c>
    </row>
    <row r="42" spans="3:3" x14ac:dyDescent="0.15">
      <c r="C42" s="79" t="s">
        <v>74</v>
      </c>
    </row>
    <row r="43" spans="3:3" x14ac:dyDescent="0.15">
      <c r="C43" s="79" t="s">
        <v>75</v>
      </c>
    </row>
    <row r="44" spans="3:3" x14ac:dyDescent="0.15">
      <c r="C44" s="79" t="s">
        <v>76</v>
      </c>
    </row>
    <row r="45" spans="3:3" x14ac:dyDescent="0.15">
      <c r="C45" s="79" t="s">
        <v>77</v>
      </c>
    </row>
    <row r="46" spans="3:3" x14ac:dyDescent="0.15">
      <c r="C46" s="79" t="s">
        <v>78</v>
      </c>
    </row>
    <row r="47" spans="3:3" x14ac:dyDescent="0.15">
      <c r="C47" s="79" t="s">
        <v>79</v>
      </c>
    </row>
    <row r="48" spans="3:3" x14ac:dyDescent="0.15">
      <c r="C48" s="79" t="s">
        <v>80</v>
      </c>
    </row>
    <row r="49" spans="2:3" x14ac:dyDescent="0.15">
      <c r="C49" s="79" t="s">
        <v>81</v>
      </c>
    </row>
    <row r="50" spans="2:3" x14ac:dyDescent="0.15">
      <c r="C50" s="79" t="s">
        <v>82</v>
      </c>
    </row>
    <row r="51" spans="2:3" x14ac:dyDescent="0.15">
      <c r="C51" s="79" t="s">
        <v>83</v>
      </c>
    </row>
    <row r="54" spans="2:3" x14ac:dyDescent="0.15">
      <c r="B54" s="114" t="s">
        <v>298</v>
      </c>
    </row>
    <row r="55" spans="2:3" x14ac:dyDescent="0.15">
      <c r="C55" t="s">
        <v>299</v>
      </c>
    </row>
  </sheetData>
  <mergeCells count="12">
    <mergeCell ref="D26:I26"/>
    <mergeCell ref="B5:C6"/>
    <mergeCell ref="D5:K5"/>
    <mergeCell ref="B7:B14"/>
    <mergeCell ref="D18:I18"/>
    <mergeCell ref="D19:I19"/>
    <mergeCell ref="D20:I20"/>
    <mergeCell ref="D21:I21"/>
    <mergeCell ref="D22:I22"/>
    <mergeCell ref="D23:I23"/>
    <mergeCell ref="D24:I24"/>
    <mergeCell ref="D25:I25"/>
  </mergeCells>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376D4-9922-49EF-9110-27929F13E9D8}">
  <dimension ref="A1:X73"/>
  <sheetViews>
    <sheetView showGridLines="0" workbookViewId="0"/>
  </sheetViews>
  <sheetFormatPr defaultRowHeight="13.5" x14ac:dyDescent="0.15"/>
  <cols>
    <col min="1" max="1" width="2.625" customWidth="1"/>
    <col min="2" max="2" width="2.75" customWidth="1"/>
    <col min="4" max="11" width="11.375" bestFit="1" customWidth="1"/>
    <col min="24" max="24" width="11.75" customWidth="1"/>
  </cols>
  <sheetData>
    <row r="1" spans="1:24" x14ac:dyDescent="0.15">
      <c r="A1" s="113" t="s">
        <v>102</v>
      </c>
    </row>
    <row r="2" spans="1:24" x14ac:dyDescent="0.15">
      <c r="C2" t="s">
        <v>413</v>
      </c>
    </row>
    <row r="3" spans="1:24" x14ac:dyDescent="0.15">
      <c r="C3" t="s">
        <v>423</v>
      </c>
    </row>
    <row r="5" spans="1:24" x14ac:dyDescent="0.15">
      <c r="C5" s="110" t="s">
        <v>424</v>
      </c>
      <c r="D5" s="112"/>
      <c r="E5" s="121"/>
      <c r="F5" s="121"/>
      <c r="G5" s="121"/>
      <c r="H5" s="122"/>
    </row>
    <row r="6" spans="1:24" x14ac:dyDescent="0.15">
      <c r="C6" s="102" t="s">
        <v>425</v>
      </c>
      <c r="D6" s="120"/>
      <c r="E6" s="120"/>
      <c r="F6" s="120"/>
      <c r="G6" s="120"/>
      <c r="H6" s="103"/>
    </row>
    <row r="7" spans="1:24" x14ac:dyDescent="0.15">
      <c r="C7" s="106"/>
      <c r="D7" s="106"/>
    </row>
    <row r="8" spans="1:24" x14ac:dyDescent="0.15">
      <c r="C8" s="117" t="s">
        <v>358</v>
      </c>
      <c r="D8" s="106"/>
    </row>
    <row r="9" spans="1:24" x14ac:dyDescent="0.15">
      <c r="C9" s="110" t="s">
        <v>359</v>
      </c>
      <c r="D9" s="111"/>
    </row>
    <row r="10" spans="1:24" x14ac:dyDescent="0.15">
      <c r="C10" s="118">
        <v>10</v>
      </c>
      <c r="D10" s="103"/>
    </row>
    <row r="11" spans="1:24" x14ac:dyDescent="0.15">
      <c r="C11" s="123"/>
      <c r="D11" s="106"/>
    </row>
    <row r="12" spans="1:24" x14ac:dyDescent="0.15">
      <c r="C12" s="123" t="s">
        <v>426</v>
      </c>
      <c r="D12" s="106"/>
    </row>
    <row r="13" spans="1:24" x14ac:dyDescent="0.15">
      <c r="C13" s="123" t="s">
        <v>427</v>
      </c>
      <c r="D13" s="106"/>
    </row>
    <row r="14" spans="1:24" x14ac:dyDescent="0.15">
      <c r="C14" s="106"/>
      <c r="D14" s="106"/>
    </row>
    <row r="15" spans="1:24" x14ac:dyDescent="0.15">
      <c r="C15" s="109" t="s">
        <v>103</v>
      </c>
      <c r="D15" s="110" t="s">
        <v>106</v>
      </c>
      <c r="E15" s="111"/>
      <c r="F15" s="112" t="s">
        <v>107</v>
      </c>
      <c r="G15" s="112"/>
      <c r="H15" s="112"/>
      <c r="I15" s="112"/>
      <c r="J15" s="111"/>
      <c r="K15" s="110" t="s">
        <v>108</v>
      </c>
      <c r="L15" s="112"/>
      <c r="M15" s="112"/>
      <c r="N15" s="112"/>
      <c r="O15" s="112"/>
      <c r="P15" s="111"/>
      <c r="Q15" s="110" t="s">
        <v>366</v>
      </c>
      <c r="R15" s="112"/>
      <c r="S15" s="112"/>
      <c r="T15" s="112"/>
      <c r="U15" s="112"/>
      <c r="V15" s="111"/>
    </row>
    <row r="16" spans="1:24" ht="27" x14ac:dyDescent="0.15">
      <c r="C16" s="104">
        <v>1</v>
      </c>
      <c r="D16" s="107" t="s">
        <v>210</v>
      </c>
      <c r="E16" s="101"/>
      <c r="F16" s="105" t="s">
        <v>428</v>
      </c>
      <c r="G16" s="105"/>
      <c r="H16" s="105"/>
      <c r="I16" s="105"/>
      <c r="J16" s="101"/>
      <c r="K16" s="100" t="s">
        <v>429</v>
      </c>
      <c r="L16" s="105"/>
      <c r="M16" s="105"/>
      <c r="N16" s="105"/>
      <c r="O16" s="105"/>
      <c r="P16" s="101"/>
      <c r="Q16" s="100" t="s">
        <v>211</v>
      </c>
      <c r="R16" s="105"/>
      <c r="S16" s="105"/>
      <c r="T16" s="105"/>
      <c r="U16" s="105"/>
      <c r="V16" s="101"/>
      <c r="X16" s="116"/>
    </row>
    <row r="17" spans="3:24" ht="27" x14ac:dyDescent="0.15">
      <c r="C17" s="104">
        <v>2</v>
      </c>
      <c r="D17" s="107" t="s">
        <v>163</v>
      </c>
      <c r="E17" s="101"/>
      <c r="F17" s="105" t="s">
        <v>428</v>
      </c>
      <c r="G17" s="105"/>
      <c r="H17" s="105"/>
      <c r="I17" s="105"/>
      <c r="J17" s="101"/>
      <c r="K17" s="100" t="s">
        <v>430</v>
      </c>
      <c r="L17" s="105"/>
      <c r="M17" s="105"/>
      <c r="N17" s="105"/>
      <c r="O17" s="105"/>
      <c r="P17" s="101"/>
      <c r="Q17" s="100" t="s">
        <v>212</v>
      </c>
      <c r="R17" s="105"/>
      <c r="S17" s="105"/>
      <c r="T17" s="105"/>
      <c r="U17" s="105"/>
      <c r="V17" s="101"/>
      <c r="X17" s="116"/>
    </row>
    <row r="18" spans="3:24" ht="27" x14ac:dyDescent="0.15">
      <c r="C18" s="104">
        <v>3</v>
      </c>
      <c r="D18" s="107" t="s">
        <v>202</v>
      </c>
      <c r="E18" s="101"/>
      <c r="F18" s="105" t="s">
        <v>428</v>
      </c>
      <c r="G18" s="105"/>
      <c r="H18" s="105"/>
      <c r="I18" s="105"/>
      <c r="J18" s="101"/>
      <c r="K18" s="100" t="s">
        <v>431</v>
      </c>
      <c r="L18" s="105"/>
      <c r="M18" s="105"/>
      <c r="N18" s="105"/>
      <c r="O18" s="105"/>
      <c r="P18" s="101"/>
      <c r="Q18" s="100" t="s">
        <v>213</v>
      </c>
      <c r="R18" s="105"/>
      <c r="S18" s="105"/>
      <c r="T18" s="105"/>
      <c r="U18" s="105"/>
      <c r="V18" s="101"/>
      <c r="X18" s="116"/>
    </row>
    <row r="19" spans="3:24" ht="27" x14ac:dyDescent="0.15">
      <c r="C19" s="104">
        <v>4</v>
      </c>
      <c r="D19" s="107" t="s">
        <v>214</v>
      </c>
      <c r="E19" s="101"/>
      <c r="F19" s="105" t="s">
        <v>428</v>
      </c>
      <c r="G19" s="105"/>
      <c r="H19" s="105"/>
      <c r="I19" s="105"/>
      <c r="J19" s="101"/>
      <c r="K19" s="100" t="s">
        <v>432</v>
      </c>
      <c r="L19" s="105"/>
      <c r="M19" s="105"/>
      <c r="N19" s="105"/>
      <c r="O19" s="105"/>
      <c r="P19" s="101"/>
      <c r="Q19" s="100" t="s">
        <v>215</v>
      </c>
      <c r="R19" s="105"/>
      <c r="S19" s="105"/>
      <c r="T19" s="105"/>
      <c r="U19" s="105"/>
      <c r="V19" s="101"/>
      <c r="X19" s="116"/>
    </row>
    <row r="20" spans="3:24" ht="27" x14ac:dyDescent="0.15">
      <c r="C20" s="104">
        <v>5</v>
      </c>
      <c r="D20" s="107" t="s">
        <v>205</v>
      </c>
      <c r="E20" s="101"/>
      <c r="F20" s="105" t="s">
        <v>428</v>
      </c>
      <c r="G20" s="105"/>
      <c r="H20" s="105"/>
      <c r="I20" s="105"/>
      <c r="J20" s="101"/>
      <c r="K20" s="100" t="s">
        <v>433</v>
      </c>
      <c r="L20" s="105"/>
      <c r="M20" s="105"/>
      <c r="N20" s="105"/>
      <c r="O20" s="105"/>
      <c r="P20" s="101"/>
      <c r="Q20" s="100" t="s">
        <v>216</v>
      </c>
      <c r="R20" s="105"/>
      <c r="S20" s="105"/>
      <c r="T20" s="105"/>
      <c r="U20" s="105"/>
      <c r="V20" s="101"/>
      <c r="X20" s="116"/>
    </row>
    <row r="21" spans="3:24" ht="27" x14ac:dyDescent="0.15">
      <c r="C21" s="104">
        <v>6</v>
      </c>
      <c r="D21" s="107" t="s">
        <v>206</v>
      </c>
      <c r="E21" s="101"/>
      <c r="F21" s="105" t="s">
        <v>428</v>
      </c>
      <c r="G21" s="105"/>
      <c r="H21" s="105"/>
      <c r="I21" s="105"/>
      <c r="J21" s="101"/>
      <c r="K21" s="100" t="s">
        <v>434</v>
      </c>
      <c r="L21" s="105"/>
      <c r="M21" s="105"/>
      <c r="N21" s="105"/>
      <c r="O21" s="105"/>
      <c r="P21" s="101"/>
      <c r="Q21" s="100" t="s">
        <v>217</v>
      </c>
      <c r="R21" s="105"/>
      <c r="S21" s="105"/>
      <c r="T21" s="105"/>
      <c r="U21" s="105"/>
      <c r="V21" s="101"/>
      <c r="X21" s="116"/>
    </row>
    <row r="22" spans="3:24" ht="27" x14ac:dyDescent="0.15">
      <c r="C22" s="104">
        <v>7</v>
      </c>
      <c r="D22" s="107" t="s">
        <v>208</v>
      </c>
      <c r="E22" s="101"/>
      <c r="F22" s="105" t="s">
        <v>428</v>
      </c>
      <c r="G22" s="105"/>
      <c r="H22" s="105"/>
      <c r="I22" s="105"/>
      <c r="J22" s="101"/>
      <c r="K22" s="100" t="s">
        <v>435</v>
      </c>
      <c r="L22" s="105"/>
      <c r="M22" s="105"/>
      <c r="N22" s="105"/>
      <c r="O22" s="105"/>
      <c r="P22" s="101"/>
      <c r="Q22" s="100" t="s">
        <v>218</v>
      </c>
      <c r="R22" s="105"/>
      <c r="S22" s="105"/>
      <c r="T22" s="105"/>
      <c r="U22" s="105"/>
      <c r="V22" s="101"/>
      <c r="X22" s="116"/>
    </row>
    <row r="23" spans="3:24" ht="27" x14ac:dyDescent="0.15">
      <c r="C23" s="104">
        <v>8</v>
      </c>
      <c r="D23" s="107" t="s">
        <v>219</v>
      </c>
      <c r="E23" s="101"/>
      <c r="F23" s="105" t="s">
        <v>429</v>
      </c>
      <c r="G23" s="105"/>
      <c r="H23" s="105"/>
      <c r="I23" s="105"/>
      <c r="J23" s="101"/>
      <c r="K23" s="100" t="s">
        <v>430</v>
      </c>
      <c r="L23" s="105"/>
      <c r="M23" s="105"/>
      <c r="N23" s="105"/>
      <c r="O23" s="105"/>
      <c r="P23" s="101"/>
      <c r="Q23" s="100" t="s">
        <v>220</v>
      </c>
      <c r="R23" s="105"/>
      <c r="S23" s="105"/>
      <c r="T23" s="105"/>
      <c r="U23" s="105"/>
      <c r="V23" s="101"/>
      <c r="X23" s="116"/>
    </row>
    <row r="24" spans="3:24" ht="27" x14ac:dyDescent="0.15">
      <c r="C24" s="104">
        <v>9</v>
      </c>
      <c r="D24" s="107" t="s">
        <v>209</v>
      </c>
      <c r="E24" s="101"/>
      <c r="F24" s="105" t="s">
        <v>429</v>
      </c>
      <c r="G24" s="105"/>
      <c r="H24" s="105"/>
      <c r="I24" s="105"/>
      <c r="J24" s="101"/>
      <c r="K24" s="100" t="s">
        <v>431</v>
      </c>
      <c r="L24" s="105"/>
      <c r="M24" s="105"/>
      <c r="N24" s="105"/>
      <c r="O24" s="105"/>
      <c r="P24" s="101"/>
      <c r="Q24" s="100" t="s">
        <v>221</v>
      </c>
      <c r="R24" s="105"/>
      <c r="S24" s="105"/>
      <c r="T24" s="105"/>
      <c r="U24" s="105"/>
      <c r="V24" s="101"/>
      <c r="X24" s="116"/>
    </row>
    <row r="25" spans="3:24" ht="27" x14ac:dyDescent="0.15">
      <c r="C25" s="104">
        <v>10</v>
      </c>
      <c r="D25" s="107" t="s">
        <v>222</v>
      </c>
      <c r="E25" s="101"/>
      <c r="F25" s="105" t="s">
        <v>429</v>
      </c>
      <c r="G25" s="105"/>
      <c r="H25" s="105"/>
      <c r="I25" s="105"/>
      <c r="J25" s="101"/>
      <c r="K25" s="100" t="s">
        <v>432</v>
      </c>
      <c r="L25" s="105"/>
      <c r="M25" s="105"/>
      <c r="N25" s="105"/>
      <c r="O25" s="105"/>
      <c r="P25" s="101"/>
      <c r="Q25" s="100" t="s">
        <v>223</v>
      </c>
      <c r="R25" s="105"/>
      <c r="S25" s="105"/>
      <c r="T25" s="105"/>
      <c r="U25" s="105"/>
      <c r="V25" s="101"/>
      <c r="X25" s="116"/>
    </row>
    <row r="26" spans="3:24" ht="27" x14ac:dyDescent="0.15">
      <c r="C26" s="104">
        <v>11</v>
      </c>
      <c r="D26" s="107" t="s">
        <v>224</v>
      </c>
      <c r="E26" s="101"/>
      <c r="F26" s="105" t="s">
        <v>429</v>
      </c>
      <c r="G26" s="105"/>
      <c r="H26" s="105"/>
      <c r="I26" s="105"/>
      <c r="J26" s="101"/>
      <c r="K26" s="100" t="s">
        <v>433</v>
      </c>
      <c r="L26" s="105"/>
      <c r="M26" s="105"/>
      <c r="N26" s="105"/>
      <c r="O26" s="105"/>
      <c r="P26" s="101"/>
      <c r="Q26" s="100" t="s">
        <v>225</v>
      </c>
      <c r="R26" s="105"/>
      <c r="S26" s="105"/>
      <c r="T26" s="105"/>
      <c r="U26" s="105"/>
      <c r="V26" s="101"/>
      <c r="X26" s="116"/>
    </row>
    <row r="27" spans="3:24" ht="27" x14ac:dyDescent="0.15">
      <c r="C27" s="104">
        <v>12</v>
      </c>
      <c r="D27" s="107" t="s">
        <v>226</v>
      </c>
      <c r="E27" s="101"/>
      <c r="F27" s="105" t="s">
        <v>429</v>
      </c>
      <c r="G27" s="105"/>
      <c r="H27" s="105"/>
      <c r="I27" s="105"/>
      <c r="J27" s="101"/>
      <c r="K27" s="100" t="s">
        <v>434</v>
      </c>
      <c r="L27" s="105"/>
      <c r="M27" s="105"/>
      <c r="N27" s="105"/>
      <c r="O27" s="105"/>
      <c r="P27" s="101"/>
      <c r="Q27" s="100" t="s">
        <v>227</v>
      </c>
      <c r="R27" s="105"/>
      <c r="S27" s="105"/>
      <c r="T27" s="105"/>
      <c r="U27" s="105"/>
      <c r="V27" s="101"/>
      <c r="X27" s="116"/>
    </row>
    <row r="28" spans="3:24" ht="27" x14ac:dyDescent="0.15">
      <c r="C28" s="104">
        <v>13</v>
      </c>
      <c r="D28" s="107" t="s">
        <v>228</v>
      </c>
      <c r="E28" s="101"/>
      <c r="F28" s="105" t="s">
        <v>429</v>
      </c>
      <c r="G28" s="105"/>
      <c r="H28" s="105"/>
      <c r="I28" s="105"/>
      <c r="J28" s="101"/>
      <c r="K28" s="100" t="s">
        <v>435</v>
      </c>
      <c r="L28" s="105"/>
      <c r="M28" s="105"/>
      <c r="N28" s="105"/>
      <c r="O28" s="105"/>
      <c r="P28" s="101"/>
      <c r="Q28" s="100" t="s">
        <v>229</v>
      </c>
      <c r="R28" s="105"/>
      <c r="S28" s="105"/>
      <c r="T28" s="105"/>
      <c r="U28" s="105"/>
      <c r="V28" s="101"/>
      <c r="X28" s="116"/>
    </row>
    <row r="29" spans="3:24" ht="27" x14ac:dyDescent="0.15">
      <c r="C29" s="104">
        <v>14</v>
      </c>
      <c r="D29" s="107" t="s">
        <v>230</v>
      </c>
      <c r="E29" s="101"/>
      <c r="F29" s="105" t="s">
        <v>430</v>
      </c>
      <c r="G29" s="105"/>
      <c r="H29" s="105"/>
      <c r="I29" s="105"/>
      <c r="J29" s="101"/>
      <c r="K29" s="100" t="s">
        <v>431</v>
      </c>
      <c r="L29" s="105"/>
      <c r="M29" s="105"/>
      <c r="N29" s="105"/>
      <c r="O29" s="105"/>
      <c r="P29" s="101"/>
      <c r="Q29" s="100" t="s">
        <v>232</v>
      </c>
      <c r="R29" s="105"/>
      <c r="S29" s="105"/>
      <c r="T29" s="105"/>
      <c r="U29" s="105"/>
      <c r="V29" s="101"/>
      <c r="X29" s="116"/>
    </row>
    <row r="30" spans="3:24" ht="27" x14ac:dyDescent="0.15">
      <c r="C30" s="104">
        <v>15</v>
      </c>
      <c r="D30" s="107" t="s">
        <v>233</v>
      </c>
      <c r="E30" s="101"/>
      <c r="F30" s="105" t="s">
        <v>430</v>
      </c>
      <c r="G30" s="105"/>
      <c r="H30" s="105"/>
      <c r="I30" s="105"/>
      <c r="J30" s="101"/>
      <c r="K30" s="100" t="s">
        <v>432</v>
      </c>
      <c r="L30" s="105"/>
      <c r="M30" s="105"/>
      <c r="N30" s="105"/>
      <c r="O30" s="105"/>
      <c r="P30" s="101"/>
      <c r="Q30" s="100" t="s">
        <v>234</v>
      </c>
      <c r="R30" s="105"/>
      <c r="S30" s="105"/>
      <c r="T30" s="105"/>
      <c r="U30" s="105"/>
      <c r="V30" s="101"/>
      <c r="X30" s="116"/>
    </row>
    <row r="31" spans="3:24" ht="27" x14ac:dyDescent="0.15">
      <c r="C31" s="104">
        <v>16</v>
      </c>
      <c r="D31" s="107" t="s">
        <v>235</v>
      </c>
      <c r="E31" s="101"/>
      <c r="F31" s="105" t="s">
        <v>430</v>
      </c>
      <c r="G31" s="105"/>
      <c r="H31" s="105"/>
      <c r="I31" s="105"/>
      <c r="J31" s="101"/>
      <c r="K31" s="100" t="s">
        <v>433</v>
      </c>
      <c r="L31" s="105"/>
      <c r="M31" s="105"/>
      <c r="N31" s="105"/>
      <c r="O31" s="105"/>
      <c r="P31" s="101"/>
      <c r="Q31" s="100" t="s">
        <v>236</v>
      </c>
      <c r="R31" s="105"/>
      <c r="S31" s="105"/>
      <c r="T31" s="105"/>
      <c r="U31" s="105"/>
      <c r="V31" s="101"/>
      <c r="X31" s="116"/>
    </row>
    <row r="32" spans="3:24" ht="27" x14ac:dyDescent="0.15">
      <c r="C32" s="104">
        <v>17</v>
      </c>
      <c r="D32" s="107" t="s">
        <v>237</v>
      </c>
      <c r="E32" s="101"/>
      <c r="F32" s="105" t="s">
        <v>430</v>
      </c>
      <c r="G32" s="105"/>
      <c r="H32" s="105"/>
      <c r="I32" s="105"/>
      <c r="J32" s="101"/>
      <c r="K32" s="100" t="s">
        <v>434</v>
      </c>
      <c r="L32" s="105"/>
      <c r="M32" s="105"/>
      <c r="N32" s="105"/>
      <c r="O32" s="105"/>
      <c r="P32" s="101"/>
      <c r="Q32" s="100" t="s">
        <v>238</v>
      </c>
      <c r="R32" s="105"/>
      <c r="S32" s="105"/>
      <c r="T32" s="105"/>
      <c r="U32" s="105"/>
      <c r="V32" s="101"/>
      <c r="X32" s="116"/>
    </row>
    <row r="33" spans="3:24" ht="27" x14ac:dyDescent="0.15">
      <c r="C33" s="104">
        <v>18</v>
      </c>
      <c r="D33" s="107" t="s">
        <v>239</v>
      </c>
      <c r="E33" s="101"/>
      <c r="F33" s="105" t="s">
        <v>430</v>
      </c>
      <c r="G33" s="105"/>
      <c r="H33" s="105"/>
      <c r="I33" s="105"/>
      <c r="J33" s="101"/>
      <c r="K33" s="100" t="s">
        <v>435</v>
      </c>
      <c r="L33" s="105"/>
      <c r="M33" s="105"/>
      <c r="N33" s="105"/>
      <c r="O33" s="105"/>
      <c r="P33" s="101"/>
      <c r="Q33" s="100" t="s">
        <v>207</v>
      </c>
      <c r="R33" s="105"/>
      <c r="S33" s="105"/>
      <c r="T33" s="105"/>
      <c r="U33" s="105"/>
      <c r="V33" s="101"/>
      <c r="X33" s="116"/>
    </row>
    <row r="34" spans="3:24" ht="27" x14ac:dyDescent="0.15">
      <c r="C34" s="104">
        <v>19</v>
      </c>
      <c r="D34" s="107" t="s">
        <v>241</v>
      </c>
      <c r="E34" s="101"/>
      <c r="F34" s="105" t="s">
        <v>431</v>
      </c>
      <c r="G34" s="105"/>
      <c r="H34" s="105"/>
      <c r="I34" s="105"/>
      <c r="J34" s="101"/>
      <c r="K34" s="100" t="s">
        <v>432</v>
      </c>
      <c r="L34" s="105"/>
      <c r="M34" s="105"/>
      <c r="N34" s="105"/>
      <c r="O34" s="105"/>
      <c r="P34" s="101"/>
      <c r="Q34" s="100" t="s">
        <v>242</v>
      </c>
      <c r="R34" s="105"/>
      <c r="S34" s="105"/>
      <c r="T34" s="105"/>
      <c r="U34" s="105"/>
      <c r="V34" s="101"/>
      <c r="X34" s="116"/>
    </row>
    <row r="35" spans="3:24" ht="27" x14ac:dyDescent="0.15">
      <c r="C35" s="104">
        <v>20</v>
      </c>
      <c r="D35" s="107" t="s">
        <v>243</v>
      </c>
      <c r="E35" s="101"/>
      <c r="F35" s="105" t="s">
        <v>431</v>
      </c>
      <c r="G35" s="105"/>
      <c r="H35" s="105"/>
      <c r="I35" s="105"/>
      <c r="J35" s="101"/>
      <c r="K35" s="100" t="s">
        <v>433</v>
      </c>
      <c r="L35" s="105"/>
      <c r="M35" s="105"/>
      <c r="N35" s="105"/>
      <c r="O35" s="105"/>
      <c r="P35" s="101"/>
      <c r="Q35" s="100" t="s">
        <v>244</v>
      </c>
      <c r="R35" s="105"/>
      <c r="S35" s="105"/>
      <c r="T35" s="105"/>
      <c r="U35" s="105"/>
      <c r="V35" s="101"/>
      <c r="X35" s="116"/>
    </row>
    <row r="36" spans="3:24" ht="27" x14ac:dyDescent="0.15">
      <c r="C36" s="104">
        <v>21</v>
      </c>
      <c r="D36" s="107" t="s">
        <v>245</v>
      </c>
      <c r="E36" s="101"/>
      <c r="F36" s="105" t="s">
        <v>431</v>
      </c>
      <c r="G36" s="105"/>
      <c r="H36" s="105"/>
      <c r="I36" s="105"/>
      <c r="J36" s="101"/>
      <c r="K36" s="100" t="s">
        <v>434</v>
      </c>
      <c r="L36" s="105"/>
      <c r="M36" s="105"/>
      <c r="N36" s="105"/>
      <c r="O36" s="105"/>
      <c r="P36" s="101"/>
      <c r="Q36" s="100" t="s">
        <v>246</v>
      </c>
      <c r="R36" s="105"/>
      <c r="S36" s="105"/>
      <c r="T36" s="105"/>
      <c r="U36" s="105"/>
      <c r="V36" s="101"/>
      <c r="X36" s="116"/>
    </row>
    <row r="37" spans="3:24" ht="27" x14ac:dyDescent="0.15">
      <c r="C37" s="104">
        <v>22</v>
      </c>
      <c r="D37" s="107" t="s">
        <v>247</v>
      </c>
      <c r="E37" s="101"/>
      <c r="F37" s="105" t="s">
        <v>431</v>
      </c>
      <c r="G37" s="105"/>
      <c r="H37" s="105"/>
      <c r="I37" s="105"/>
      <c r="J37" s="101"/>
      <c r="K37" s="100" t="s">
        <v>435</v>
      </c>
      <c r="L37" s="105"/>
      <c r="M37" s="105"/>
      <c r="N37" s="105"/>
      <c r="O37" s="105"/>
      <c r="P37" s="101"/>
      <c r="Q37" s="100" t="s">
        <v>248</v>
      </c>
      <c r="R37" s="105"/>
      <c r="S37" s="105"/>
      <c r="T37" s="105"/>
      <c r="U37" s="105"/>
      <c r="V37" s="101"/>
      <c r="X37" s="116"/>
    </row>
    <row r="38" spans="3:24" ht="27" x14ac:dyDescent="0.15">
      <c r="C38" s="104">
        <v>23</v>
      </c>
      <c r="D38" s="107" t="s">
        <v>254</v>
      </c>
      <c r="E38" s="101"/>
      <c r="F38" s="105" t="s">
        <v>432</v>
      </c>
      <c r="G38" s="105"/>
      <c r="H38" s="105"/>
      <c r="I38" s="105"/>
      <c r="J38" s="101"/>
      <c r="K38" s="100" t="s">
        <v>433</v>
      </c>
      <c r="L38" s="105"/>
      <c r="M38" s="105"/>
      <c r="N38" s="105"/>
      <c r="O38" s="105"/>
      <c r="P38" s="101"/>
      <c r="Q38" s="100" t="s">
        <v>256</v>
      </c>
      <c r="R38" s="105"/>
      <c r="S38" s="105"/>
      <c r="T38" s="105"/>
      <c r="U38" s="105"/>
      <c r="V38" s="101"/>
      <c r="X38" s="116"/>
    </row>
    <row r="39" spans="3:24" ht="27" x14ac:dyDescent="0.15">
      <c r="C39" s="104">
        <v>24</v>
      </c>
      <c r="D39" s="107" t="s">
        <v>257</v>
      </c>
      <c r="E39" s="101"/>
      <c r="F39" s="105" t="s">
        <v>432</v>
      </c>
      <c r="G39" s="105"/>
      <c r="H39" s="105"/>
      <c r="I39" s="105"/>
      <c r="J39" s="101"/>
      <c r="K39" s="100" t="s">
        <v>434</v>
      </c>
      <c r="L39" s="105"/>
      <c r="M39" s="105"/>
      <c r="N39" s="105"/>
      <c r="O39" s="105"/>
      <c r="P39" s="101"/>
      <c r="Q39" s="100" t="s">
        <v>258</v>
      </c>
      <c r="R39" s="105"/>
      <c r="S39" s="105"/>
      <c r="T39" s="105"/>
      <c r="U39" s="105"/>
      <c r="V39" s="101"/>
      <c r="X39" s="116"/>
    </row>
    <row r="40" spans="3:24" ht="27" x14ac:dyDescent="0.15">
      <c r="C40" s="104">
        <v>25</v>
      </c>
      <c r="D40" s="107" t="s">
        <v>255</v>
      </c>
      <c r="E40" s="101"/>
      <c r="F40" s="105" t="s">
        <v>432</v>
      </c>
      <c r="G40" s="105"/>
      <c r="H40" s="105"/>
      <c r="I40" s="105"/>
      <c r="J40" s="101"/>
      <c r="K40" s="100" t="s">
        <v>435</v>
      </c>
      <c r="L40" s="105"/>
      <c r="M40" s="105"/>
      <c r="N40" s="105"/>
      <c r="O40" s="105"/>
      <c r="P40" s="101"/>
      <c r="Q40" s="100" t="s">
        <v>259</v>
      </c>
      <c r="R40" s="105"/>
      <c r="S40" s="105"/>
      <c r="T40" s="105"/>
      <c r="U40" s="105"/>
      <c r="V40" s="101"/>
      <c r="X40" s="116"/>
    </row>
    <row r="41" spans="3:24" ht="27" x14ac:dyDescent="0.15">
      <c r="C41" s="104">
        <v>26</v>
      </c>
      <c r="D41" s="107" t="s">
        <v>265</v>
      </c>
      <c r="E41" s="101"/>
      <c r="F41" s="105" t="s">
        <v>433</v>
      </c>
      <c r="G41" s="105"/>
      <c r="H41" s="105"/>
      <c r="I41" s="105"/>
      <c r="J41" s="101"/>
      <c r="K41" s="100" t="s">
        <v>434</v>
      </c>
      <c r="L41" s="105"/>
      <c r="M41" s="105"/>
      <c r="N41" s="105"/>
      <c r="O41" s="105"/>
      <c r="P41" s="101"/>
      <c r="Q41" s="100" t="s">
        <v>267</v>
      </c>
      <c r="R41" s="105"/>
      <c r="S41" s="105"/>
      <c r="T41" s="105"/>
      <c r="U41" s="105"/>
      <c r="V41" s="101"/>
      <c r="X41" s="116"/>
    </row>
    <row r="42" spans="3:24" ht="27" x14ac:dyDescent="0.15">
      <c r="C42" s="104">
        <v>27</v>
      </c>
      <c r="D42" s="107" t="s">
        <v>266</v>
      </c>
      <c r="E42" s="101"/>
      <c r="F42" s="105" t="s">
        <v>433</v>
      </c>
      <c r="G42" s="105"/>
      <c r="H42" s="105"/>
      <c r="I42" s="105"/>
      <c r="J42" s="101"/>
      <c r="K42" s="100" t="s">
        <v>435</v>
      </c>
      <c r="L42" s="105"/>
      <c r="M42" s="105"/>
      <c r="N42" s="105"/>
      <c r="O42" s="105"/>
      <c r="P42" s="101"/>
      <c r="Q42" s="100" t="s">
        <v>268</v>
      </c>
      <c r="R42" s="105"/>
      <c r="S42" s="105"/>
      <c r="T42" s="105"/>
      <c r="U42" s="105"/>
      <c r="V42" s="101"/>
      <c r="X42" s="116"/>
    </row>
    <row r="43" spans="3:24" ht="27" x14ac:dyDescent="0.15">
      <c r="C43" s="104">
        <v>28</v>
      </c>
      <c r="D43" s="107" t="s">
        <v>276</v>
      </c>
      <c r="E43" s="101"/>
      <c r="F43" s="105" t="s">
        <v>434</v>
      </c>
      <c r="G43" s="105"/>
      <c r="H43" s="105"/>
      <c r="I43" s="105"/>
      <c r="J43" s="101"/>
      <c r="K43" s="100" t="s">
        <v>435</v>
      </c>
      <c r="L43" s="105"/>
      <c r="M43" s="105"/>
      <c r="N43" s="105"/>
      <c r="O43" s="105"/>
      <c r="P43" s="101"/>
      <c r="Q43" s="100" t="s">
        <v>277</v>
      </c>
      <c r="R43" s="105"/>
      <c r="S43" s="105"/>
      <c r="T43" s="105"/>
      <c r="U43" s="105"/>
      <c r="V43" s="101"/>
      <c r="X43" s="116"/>
    </row>
    <row r="44" spans="3:24" ht="27" x14ac:dyDescent="0.15">
      <c r="C44" s="104">
        <v>29</v>
      </c>
      <c r="D44" s="107" t="s">
        <v>135</v>
      </c>
      <c r="E44" s="101"/>
      <c r="F44" s="105" t="s">
        <v>429</v>
      </c>
      <c r="G44" s="105"/>
      <c r="H44" s="105"/>
      <c r="I44" s="105"/>
      <c r="J44" s="101"/>
      <c r="K44" s="100" t="s">
        <v>428</v>
      </c>
      <c r="L44" s="105"/>
      <c r="M44" s="105"/>
      <c r="N44" s="105"/>
      <c r="O44" s="105"/>
      <c r="P44" s="101"/>
      <c r="Q44" s="100" t="s">
        <v>231</v>
      </c>
      <c r="R44" s="105"/>
      <c r="S44" s="105"/>
      <c r="T44" s="105"/>
      <c r="U44" s="105"/>
      <c r="V44" s="101"/>
      <c r="X44" s="116"/>
    </row>
    <row r="45" spans="3:24" ht="27" x14ac:dyDescent="0.15">
      <c r="C45" s="104">
        <v>30</v>
      </c>
      <c r="D45" s="107" t="s">
        <v>136</v>
      </c>
      <c r="E45" s="101"/>
      <c r="F45" s="105" t="s">
        <v>430</v>
      </c>
      <c r="G45" s="105"/>
      <c r="H45" s="105"/>
      <c r="I45" s="105"/>
      <c r="J45" s="101"/>
      <c r="K45" s="100" t="s">
        <v>428</v>
      </c>
      <c r="L45" s="105"/>
      <c r="M45" s="105"/>
      <c r="N45" s="105"/>
      <c r="O45" s="105"/>
      <c r="P45" s="101"/>
      <c r="Q45" s="100" t="s">
        <v>212</v>
      </c>
      <c r="R45" s="105"/>
      <c r="S45" s="105"/>
      <c r="T45" s="105"/>
      <c r="U45" s="105"/>
      <c r="V45" s="101"/>
      <c r="X45" s="116"/>
    </row>
    <row r="46" spans="3:24" ht="27" x14ac:dyDescent="0.15">
      <c r="C46" s="104">
        <v>31</v>
      </c>
      <c r="D46" s="107" t="s">
        <v>240</v>
      </c>
      <c r="E46" s="101"/>
      <c r="F46" s="105" t="s">
        <v>430</v>
      </c>
      <c r="G46" s="105"/>
      <c r="H46" s="105"/>
      <c r="I46" s="105"/>
      <c r="J46" s="101"/>
      <c r="K46" s="100" t="s">
        <v>429</v>
      </c>
      <c r="L46" s="105"/>
      <c r="M46" s="105"/>
      <c r="N46" s="105"/>
      <c r="O46" s="105"/>
      <c r="P46" s="101"/>
      <c r="Q46" s="100" t="s">
        <v>204</v>
      </c>
      <c r="R46" s="105"/>
      <c r="S46" s="105"/>
      <c r="T46" s="105"/>
      <c r="U46" s="105"/>
      <c r="V46" s="101"/>
      <c r="X46" s="116"/>
    </row>
    <row r="47" spans="3:24" ht="27" x14ac:dyDescent="0.15">
      <c r="C47" s="104">
        <v>32</v>
      </c>
      <c r="D47" s="107" t="s">
        <v>138</v>
      </c>
      <c r="E47" s="101"/>
      <c r="F47" s="105" t="s">
        <v>431</v>
      </c>
      <c r="G47" s="105"/>
      <c r="H47" s="105"/>
      <c r="I47" s="105"/>
      <c r="J47" s="101"/>
      <c r="K47" s="100" t="s">
        <v>428</v>
      </c>
      <c r="L47" s="105"/>
      <c r="M47" s="105"/>
      <c r="N47" s="105"/>
      <c r="O47" s="105"/>
      <c r="P47" s="101"/>
      <c r="Q47" s="100" t="s">
        <v>249</v>
      </c>
      <c r="R47" s="105"/>
      <c r="S47" s="105"/>
      <c r="T47" s="105"/>
      <c r="U47" s="105"/>
      <c r="V47" s="101"/>
      <c r="X47" s="116"/>
    </row>
    <row r="48" spans="3:24" ht="27" x14ac:dyDescent="0.15">
      <c r="C48" s="104">
        <v>33</v>
      </c>
      <c r="D48" s="107" t="s">
        <v>250</v>
      </c>
      <c r="E48" s="101"/>
      <c r="F48" s="105" t="s">
        <v>431</v>
      </c>
      <c r="G48" s="105"/>
      <c r="H48" s="105"/>
      <c r="I48" s="105"/>
      <c r="J48" s="101"/>
      <c r="K48" s="100" t="s">
        <v>429</v>
      </c>
      <c r="L48" s="105"/>
      <c r="M48" s="105"/>
      <c r="N48" s="105"/>
      <c r="O48" s="105"/>
      <c r="P48" s="101"/>
      <c r="Q48" s="100" t="s">
        <v>251</v>
      </c>
      <c r="R48" s="105"/>
      <c r="S48" s="105"/>
      <c r="T48" s="105"/>
      <c r="U48" s="105"/>
      <c r="V48" s="101"/>
      <c r="X48" s="116"/>
    </row>
    <row r="49" spans="3:24" ht="27" x14ac:dyDescent="0.15">
      <c r="C49" s="104">
        <v>34</v>
      </c>
      <c r="D49" s="107" t="s">
        <v>252</v>
      </c>
      <c r="E49" s="101"/>
      <c r="F49" s="105" t="s">
        <v>431</v>
      </c>
      <c r="G49" s="105"/>
      <c r="H49" s="105"/>
      <c r="I49" s="105"/>
      <c r="J49" s="101"/>
      <c r="K49" s="100" t="s">
        <v>430</v>
      </c>
      <c r="L49" s="105"/>
      <c r="M49" s="105"/>
      <c r="N49" s="105"/>
      <c r="O49" s="105"/>
      <c r="P49" s="101"/>
      <c r="Q49" s="100" t="s">
        <v>253</v>
      </c>
      <c r="R49" s="105"/>
      <c r="S49" s="105"/>
      <c r="T49" s="105"/>
      <c r="U49" s="105"/>
      <c r="V49" s="101"/>
      <c r="X49" s="116"/>
    </row>
    <row r="50" spans="3:24" ht="27" x14ac:dyDescent="0.15">
      <c r="C50" s="104">
        <v>35</v>
      </c>
      <c r="D50" s="107" t="s">
        <v>141</v>
      </c>
      <c r="E50" s="101"/>
      <c r="F50" s="105" t="s">
        <v>432</v>
      </c>
      <c r="G50" s="105"/>
      <c r="H50" s="105"/>
      <c r="I50" s="105"/>
      <c r="J50" s="101"/>
      <c r="K50" s="100" t="s">
        <v>428</v>
      </c>
      <c r="L50" s="105"/>
      <c r="M50" s="105"/>
      <c r="N50" s="105"/>
      <c r="O50" s="105"/>
      <c r="P50" s="101"/>
      <c r="Q50" s="100" t="s">
        <v>260</v>
      </c>
      <c r="R50" s="105"/>
      <c r="S50" s="105"/>
      <c r="T50" s="105"/>
      <c r="U50" s="105"/>
      <c r="V50" s="101"/>
      <c r="X50" s="116"/>
    </row>
    <row r="51" spans="3:24" ht="27" x14ac:dyDescent="0.15">
      <c r="C51" s="104">
        <v>36</v>
      </c>
      <c r="D51" s="107" t="s">
        <v>261</v>
      </c>
      <c r="E51" s="101"/>
      <c r="F51" s="105" t="s">
        <v>432</v>
      </c>
      <c r="G51" s="105"/>
      <c r="H51" s="105"/>
      <c r="I51" s="105"/>
      <c r="J51" s="101"/>
      <c r="K51" s="100" t="s">
        <v>429</v>
      </c>
      <c r="L51" s="105"/>
      <c r="M51" s="105"/>
      <c r="N51" s="105"/>
      <c r="O51" s="105"/>
      <c r="P51" s="101"/>
      <c r="Q51" s="100" t="s">
        <v>262</v>
      </c>
      <c r="R51" s="105"/>
      <c r="S51" s="105"/>
      <c r="T51" s="105"/>
      <c r="U51" s="105"/>
      <c r="V51" s="101"/>
      <c r="X51" s="116"/>
    </row>
    <row r="52" spans="3:24" ht="27" x14ac:dyDescent="0.15">
      <c r="C52" s="104">
        <v>37</v>
      </c>
      <c r="D52" s="107" t="s">
        <v>263</v>
      </c>
      <c r="E52" s="101"/>
      <c r="F52" s="105" t="s">
        <v>432</v>
      </c>
      <c r="G52" s="105"/>
      <c r="H52" s="105"/>
      <c r="I52" s="105"/>
      <c r="J52" s="101"/>
      <c r="K52" s="100" t="s">
        <v>430</v>
      </c>
      <c r="L52" s="105"/>
      <c r="M52" s="105"/>
      <c r="N52" s="105"/>
      <c r="O52" s="105"/>
      <c r="P52" s="101"/>
      <c r="Q52" s="100" t="s">
        <v>234</v>
      </c>
      <c r="R52" s="105"/>
      <c r="S52" s="105"/>
      <c r="T52" s="105"/>
      <c r="U52" s="105"/>
      <c r="V52" s="101"/>
      <c r="X52" s="116"/>
    </row>
    <row r="53" spans="3:24" ht="27" x14ac:dyDescent="0.15">
      <c r="C53" s="104">
        <v>38</v>
      </c>
      <c r="D53" s="107" t="s">
        <v>264</v>
      </c>
      <c r="E53" s="101"/>
      <c r="F53" s="105" t="s">
        <v>432</v>
      </c>
      <c r="G53" s="105"/>
      <c r="H53" s="105"/>
      <c r="I53" s="105"/>
      <c r="J53" s="101"/>
      <c r="K53" s="100" t="s">
        <v>431</v>
      </c>
      <c r="L53" s="105"/>
      <c r="M53" s="105"/>
      <c r="N53" s="105"/>
      <c r="O53" s="105"/>
      <c r="P53" s="101"/>
      <c r="Q53" s="100" t="s">
        <v>242</v>
      </c>
      <c r="R53" s="105"/>
      <c r="S53" s="105"/>
      <c r="T53" s="105"/>
      <c r="U53" s="105"/>
      <c r="V53" s="101"/>
      <c r="X53" s="116"/>
    </row>
    <row r="54" spans="3:24" ht="27" x14ac:dyDescent="0.15">
      <c r="C54" s="104">
        <v>39</v>
      </c>
      <c r="D54" s="107" t="s">
        <v>145</v>
      </c>
      <c r="E54" s="101"/>
      <c r="F54" s="105" t="s">
        <v>433</v>
      </c>
      <c r="G54" s="105"/>
      <c r="H54" s="105"/>
      <c r="I54" s="105"/>
      <c r="J54" s="101"/>
      <c r="K54" s="100" t="s">
        <v>428</v>
      </c>
      <c r="L54" s="105"/>
      <c r="M54" s="105"/>
      <c r="N54" s="105"/>
      <c r="O54" s="105"/>
      <c r="P54" s="101"/>
      <c r="Q54" s="100" t="s">
        <v>269</v>
      </c>
      <c r="R54" s="105"/>
      <c r="S54" s="105"/>
      <c r="T54" s="105"/>
      <c r="U54" s="105"/>
      <c r="V54" s="101"/>
      <c r="X54" s="116"/>
    </row>
    <row r="55" spans="3:24" ht="27" x14ac:dyDescent="0.15">
      <c r="C55" s="104">
        <v>40</v>
      </c>
      <c r="D55" s="107" t="s">
        <v>270</v>
      </c>
      <c r="E55" s="101"/>
      <c r="F55" s="105" t="s">
        <v>433</v>
      </c>
      <c r="G55" s="105"/>
      <c r="H55" s="105"/>
      <c r="I55" s="105"/>
      <c r="J55" s="101"/>
      <c r="K55" s="100" t="s">
        <v>429</v>
      </c>
      <c r="L55" s="105"/>
      <c r="M55" s="105"/>
      <c r="N55" s="105"/>
      <c r="O55" s="105"/>
      <c r="P55" s="101"/>
      <c r="Q55" s="100" t="s">
        <v>271</v>
      </c>
      <c r="R55" s="105"/>
      <c r="S55" s="105"/>
      <c r="T55" s="105"/>
      <c r="U55" s="105"/>
      <c r="V55" s="101"/>
      <c r="X55" s="116"/>
    </row>
    <row r="56" spans="3:24" ht="27" x14ac:dyDescent="0.15">
      <c r="C56" s="104">
        <v>41</v>
      </c>
      <c r="D56" s="107" t="s">
        <v>272</v>
      </c>
      <c r="E56" s="101"/>
      <c r="F56" s="105" t="s">
        <v>433</v>
      </c>
      <c r="G56" s="105"/>
      <c r="H56" s="105"/>
      <c r="I56" s="105"/>
      <c r="J56" s="101"/>
      <c r="K56" s="100" t="s">
        <v>430</v>
      </c>
      <c r="L56" s="105"/>
      <c r="M56" s="105"/>
      <c r="N56" s="105"/>
      <c r="O56" s="105"/>
      <c r="P56" s="101"/>
      <c r="Q56" s="100" t="s">
        <v>203</v>
      </c>
      <c r="R56" s="105"/>
      <c r="S56" s="105"/>
      <c r="T56" s="105"/>
      <c r="U56" s="105"/>
      <c r="V56" s="101"/>
      <c r="X56" s="116"/>
    </row>
    <row r="57" spans="3:24" ht="27" x14ac:dyDescent="0.15">
      <c r="C57" s="104">
        <v>42</v>
      </c>
      <c r="D57" s="107" t="s">
        <v>273</v>
      </c>
      <c r="E57" s="101"/>
      <c r="F57" s="105" t="s">
        <v>433</v>
      </c>
      <c r="G57" s="105"/>
      <c r="H57" s="105"/>
      <c r="I57" s="105"/>
      <c r="J57" s="101"/>
      <c r="K57" s="100" t="s">
        <v>431</v>
      </c>
      <c r="L57" s="105"/>
      <c r="M57" s="105"/>
      <c r="N57" s="105"/>
      <c r="O57" s="105"/>
      <c r="P57" s="101"/>
      <c r="Q57" s="100" t="s">
        <v>244</v>
      </c>
      <c r="R57" s="105"/>
      <c r="S57" s="105"/>
      <c r="T57" s="105"/>
      <c r="U57" s="105"/>
      <c r="V57" s="101"/>
      <c r="X57" s="116"/>
    </row>
    <row r="58" spans="3:24" ht="27" x14ac:dyDescent="0.15">
      <c r="C58" s="104">
        <v>43</v>
      </c>
      <c r="D58" s="107" t="s">
        <v>274</v>
      </c>
      <c r="E58" s="101"/>
      <c r="F58" s="105" t="s">
        <v>433</v>
      </c>
      <c r="G58" s="105"/>
      <c r="H58" s="105"/>
      <c r="I58" s="105"/>
      <c r="J58" s="101"/>
      <c r="K58" s="100" t="s">
        <v>432</v>
      </c>
      <c r="L58" s="105"/>
      <c r="M58" s="105"/>
      <c r="N58" s="105"/>
      <c r="O58" s="105"/>
      <c r="P58" s="101"/>
      <c r="Q58" s="100" t="s">
        <v>275</v>
      </c>
      <c r="R58" s="105"/>
      <c r="S58" s="105"/>
      <c r="T58" s="105"/>
      <c r="U58" s="105"/>
      <c r="V58" s="101"/>
      <c r="X58" s="116"/>
    </row>
    <row r="59" spans="3:24" ht="27" x14ac:dyDescent="0.15">
      <c r="C59" s="104">
        <v>44</v>
      </c>
      <c r="D59" s="107" t="s">
        <v>150</v>
      </c>
      <c r="E59" s="101"/>
      <c r="F59" s="105" t="s">
        <v>434</v>
      </c>
      <c r="G59" s="105"/>
      <c r="H59" s="105"/>
      <c r="I59" s="105"/>
      <c r="J59" s="101"/>
      <c r="K59" s="100" t="s">
        <v>428</v>
      </c>
      <c r="L59" s="105"/>
      <c r="M59" s="105"/>
      <c r="N59" s="105"/>
      <c r="O59" s="105"/>
      <c r="P59" s="101"/>
      <c r="Q59" s="100" t="s">
        <v>217</v>
      </c>
      <c r="R59" s="105"/>
      <c r="S59" s="105"/>
      <c r="T59" s="105"/>
      <c r="U59" s="105"/>
      <c r="V59" s="101"/>
      <c r="X59" s="116"/>
    </row>
    <row r="60" spans="3:24" ht="27" x14ac:dyDescent="0.15">
      <c r="C60" s="104">
        <v>45</v>
      </c>
      <c r="D60" s="107" t="s">
        <v>278</v>
      </c>
      <c r="E60" s="101"/>
      <c r="F60" s="105" t="s">
        <v>434</v>
      </c>
      <c r="G60" s="105"/>
      <c r="H60" s="105"/>
      <c r="I60" s="105"/>
      <c r="J60" s="101"/>
      <c r="K60" s="100" t="s">
        <v>429</v>
      </c>
      <c r="L60" s="105"/>
      <c r="M60" s="105"/>
      <c r="N60" s="105"/>
      <c r="O60" s="105"/>
      <c r="P60" s="101"/>
      <c r="Q60" s="100" t="s">
        <v>227</v>
      </c>
      <c r="R60" s="105"/>
      <c r="S60" s="105"/>
      <c r="T60" s="105"/>
      <c r="U60" s="105"/>
      <c r="V60" s="101"/>
      <c r="X60" s="116"/>
    </row>
    <row r="61" spans="3:24" ht="27" x14ac:dyDescent="0.15">
      <c r="C61" s="104">
        <v>46</v>
      </c>
      <c r="D61" s="107" t="s">
        <v>279</v>
      </c>
      <c r="E61" s="101"/>
      <c r="F61" s="105" t="s">
        <v>434</v>
      </c>
      <c r="G61" s="105"/>
      <c r="H61" s="105"/>
      <c r="I61" s="105"/>
      <c r="J61" s="101"/>
      <c r="K61" s="100" t="s">
        <v>430</v>
      </c>
      <c r="L61" s="105"/>
      <c r="M61" s="105"/>
      <c r="N61" s="105"/>
      <c r="O61" s="105"/>
      <c r="P61" s="101"/>
      <c r="Q61" s="100" t="s">
        <v>280</v>
      </c>
      <c r="R61" s="105"/>
      <c r="S61" s="105"/>
      <c r="T61" s="105"/>
      <c r="U61" s="105"/>
      <c r="V61" s="101"/>
      <c r="X61" s="116"/>
    </row>
    <row r="62" spans="3:24" ht="27" x14ac:dyDescent="0.15">
      <c r="C62" s="104">
        <v>47</v>
      </c>
      <c r="D62" s="107" t="s">
        <v>281</v>
      </c>
      <c r="E62" s="101"/>
      <c r="F62" s="105" t="s">
        <v>434</v>
      </c>
      <c r="G62" s="105"/>
      <c r="H62" s="105"/>
      <c r="I62" s="105"/>
      <c r="J62" s="101"/>
      <c r="K62" s="100" t="s">
        <v>431</v>
      </c>
      <c r="L62" s="105"/>
      <c r="M62" s="105"/>
      <c r="N62" s="105"/>
      <c r="O62" s="105"/>
      <c r="P62" s="101"/>
      <c r="Q62" s="100" t="s">
        <v>282</v>
      </c>
      <c r="R62" s="105"/>
      <c r="S62" s="105"/>
      <c r="T62" s="105"/>
      <c r="U62" s="105"/>
      <c r="V62" s="101"/>
      <c r="X62" s="116"/>
    </row>
    <row r="63" spans="3:24" ht="27" x14ac:dyDescent="0.15">
      <c r="C63" s="104">
        <v>48</v>
      </c>
      <c r="D63" s="107" t="s">
        <v>283</v>
      </c>
      <c r="E63" s="101"/>
      <c r="F63" s="105" t="s">
        <v>434</v>
      </c>
      <c r="G63" s="105"/>
      <c r="H63" s="105"/>
      <c r="I63" s="105"/>
      <c r="J63" s="101"/>
      <c r="K63" s="100" t="s">
        <v>432</v>
      </c>
      <c r="L63" s="105"/>
      <c r="M63" s="105"/>
      <c r="N63" s="105"/>
      <c r="O63" s="105"/>
      <c r="P63" s="101"/>
      <c r="Q63" s="100" t="s">
        <v>284</v>
      </c>
      <c r="R63" s="105"/>
      <c r="S63" s="105"/>
      <c r="T63" s="105"/>
      <c r="U63" s="105"/>
      <c r="V63" s="101"/>
      <c r="X63" s="116"/>
    </row>
    <row r="64" spans="3:24" ht="27" x14ac:dyDescent="0.15">
      <c r="C64" s="104">
        <v>49</v>
      </c>
      <c r="D64" s="107" t="s">
        <v>285</v>
      </c>
      <c r="E64" s="101"/>
      <c r="F64" s="105" t="s">
        <v>434</v>
      </c>
      <c r="G64" s="105"/>
      <c r="H64" s="105"/>
      <c r="I64" s="105"/>
      <c r="J64" s="101"/>
      <c r="K64" s="100" t="s">
        <v>433</v>
      </c>
      <c r="L64" s="105"/>
      <c r="M64" s="105"/>
      <c r="N64" s="105"/>
      <c r="O64" s="105"/>
      <c r="P64" s="101"/>
      <c r="Q64" s="100" t="s">
        <v>286</v>
      </c>
      <c r="R64" s="105"/>
      <c r="S64" s="105"/>
      <c r="T64" s="105"/>
      <c r="U64" s="105"/>
      <c r="V64" s="101"/>
      <c r="X64" s="116"/>
    </row>
    <row r="65" spans="3:24" ht="27" x14ac:dyDescent="0.15">
      <c r="C65" s="104">
        <v>50</v>
      </c>
      <c r="D65" s="107" t="s">
        <v>287</v>
      </c>
      <c r="E65" s="101"/>
      <c r="F65" s="105" t="s">
        <v>435</v>
      </c>
      <c r="G65" s="105"/>
      <c r="H65" s="105"/>
      <c r="I65" s="105"/>
      <c r="J65" s="101"/>
      <c r="K65" s="100" t="s">
        <v>428</v>
      </c>
      <c r="L65" s="105"/>
      <c r="M65" s="105"/>
      <c r="N65" s="105"/>
      <c r="O65" s="105"/>
      <c r="P65" s="101"/>
      <c r="Q65" s="100" t="s">
        <v>218</v>
      </c>
      <c r="R65" s="105"/>
      <c r="S65" s="105"/>
      <c r="T65" s="105"/>
      <c r="U65" s="105"/>
      <c r="V65" s="101"/>
      <c r="X65" s="116"/>
    </row>
    <row r="66" spans="3:24" ht="27" x14ac:dyDescent="0.15">
      <c r="C66" s="104">
        <v>51</v>
      </c>
      <c r="D66" s="107" t="s">
        <v>288</v>
      </c>
      <c r="E66" s="101"/>
      <c r="F66" s="105" t="s">
        <v>435</v>
      </c>
      <c r="G66" s="105"/>
      <c r="H66" s="105"/>
      <c r="I66" s="105"/>
      <c r="J66" s="101"/>
      <c r="K66" s="100" t="s">
        <v>429</v>
      </c>
      <c r="L66" s="105"/>
      <c r="M66" s="105"/>
      <c r="N66" s="105"/>
      <c r="O66" s="105"/>
      <c r="P66" s="101"/>
      <c r="Q66" s="100" t="s">
        <v>289</v>
      </c>
      <c r="R66" s="105"/>
      <c r="S66" s="105"/>
      <c r="T66" s="105"/>
      <c r="U66" s="105"/>
      <c r="V66" s="101"/>
      <c r="X66" s="116"/>
    </row>
    <row r="67" spans="3:24" ht="27" x14ac:dyDescent="0.15">
      <c r="C67" s="104">
        <v>52</v>
      </c>
      <c r="D67" s="107" t="s">
        <v>290</v>
      </c>
      <c r="E67" s="101"/>
      <c r="F67" s="105" t="s">
        <v>435</v>
      </c>
      <c r="G67" s="105"/>
      <c r="H67" s="105"/>
      <c r="I67" s="105"/>
      <c r="J67" s="101"/>
      <c r="K67" s="100" t="s">
        <v>430</v>
      </c>
      <c r="L67" s="105"/>
      <c r="M67" s="105"/>
      <c r="N67" s="105"/>
      <c r="O67" s="105"/>
      <c r="P67" s="101"/>
      <c r="Q67" s="100" t="s">
        <v>207</v>
      </c>
      <c r="R67" s="105"/>
      <c r="S67" s="105"/>
      <c r="T67" s="105"/>
      <c r="U67" s="105"/>
      <c r="V67" s="101"/>
      <c r="X67" s="116"/>
    </row>
    <row r="68" spans="3:24" ht="27" x14ac:dyDescent="0.15">
      <c r="C68" s="104">
        <v>53</v>
      </c>
      <c r="D68" s="107" t="s">
        <v>291</v>
      </c>
      <c r="E68" s="101"/>
      <c r="F68" s="105" t="s">
        <v>435</v>
      </c>
      <c r="G68" s="105"/>
      <c r="H68" s="105"/>
      <c r="I68" s="105"/>
      <c r="J68" s="101"/>
      <c r="K68" s="100" t="s">
        <v>431</v>
      </c>
      <c r="L68" s="105"/>
      <c r="M68" s="105"/>
      <c r="N68" s="105"/>
      <c r="O68" s="105"/>
      <c r="P68" s="101"/>
      <c r="Q68" s="100" t="s">
        <v>292</v>
      </c>
      <c r="R68" s="105"/>
      <c r="S68" s="105"/>
      <c r="T68" s="105"/>
      <c r="U68" s="105"/>
      <c r="V68" s="101"/>
      <c r="X68" s="116"/>
    </row>
    <row r="69" spans="3:24" ht="27" x14ac:dyDescent="0.15">
      <c r="C69" s="104">
        <v>54</v>
      </c>
      <c r="D69" s="107" t="s">
        <v>293</v>
      </c>
      <c r="E69" s="101"/>
      <c r="F69" s="105" t="s">
        <v>435</v>
      </c>
      <c r="G69" s="105"/>
      <c r="H69" s="105"/>
      <c r="I69" s="105"/>
      <c r="J69" s="101"/>
      <c r="K69" s="100" t="s">
        <v>432</v>
      </c>
      <c r="L69" s="105"/>
      <c r="M69" s="105"/>
      <c r="N69" s="105"/>
      <c r="O69" s="105"/>
      <c r="P69" s="101"/>
      <c r="Q69" s="100" t="s">
        <v>294</v>
      </c>
      <c r="R69" s="105"/>
      <c r="S69" s="105"/>
      <c r="T69" s="105"/>
      <c r="U69" s="105"/>
      <c r="V69" s="101"/>
      <c r="X69" s="116"/>
    </row>
    <row r="70" spans="3:24" ht="27" x14ac:dyDescent="0.15">
      <c r="C70" s="104">
        <v>55</v>
      </c>
      <c r="D70" s="107" t="s">
        <v>295</v>
      </c>
      <c r="E70" s="101"/>
      <c r="F70" s="105" t="s">
        <v>435</v>
      </c>
      <c r="G70" s="105"/>
      <c r="H70" s="105"/>
      <c r="I70" s="105"/>
      <c r="J70" s="101"/>
      <c r="K70" s="100" t="s">
        <v>433</v>
      </c>
      <c r="L70" s="105"/>
      <c r="M70" s="105"/>
      <c r="N70" s="105"/>
      <c r="O70" s="105"/>
      <c r="P70" s="101"/>
      <c r="Q70" s="100" t="s">
        <v>296</v>
      </c>
      <c r="R70" s="105"/>
      <c r="S70" s="105"/>
      <c r="T70" s="105"/>
      <c r="U70" s="105"/>
      <c r="V70" s="101"/>
      <c r="X70" s="116"/>
    </row>
    <row r="71" spans="3:24" ht="27" x14ac:dyDescent="0.15">
      <c r="C71" s="104">
        <v>56</v>
      </c>
      <c r="D71" s="107" t="s">
        <v>297</v>
      </c>
      <c r="E71" s="101"/>
      <c r="F71" s="105" t="s">
        <v>435</v>
      </c>
      <c r="G71" s="105"/>
      <c r="H71" s="105"/>
      <c r="I71" s="105"/>
      <c r="J71" s="101"/>
      <c r="K71" s="100" t="s">
        <v>434</v>
      </c>
      <c r="L71" s="105"/>
      <c r="M71" s="105"/>
      <c r="N71" s="105"/>
      <c r="O71" s="105"/>
      <c r="P71" s="101"/>
      <c r="Q71" s="100" t="s">
        <v>277</v>
      </c>
      <c r="R71" s="105"/>
      <c r="S71" s="105"/>
      <c r="T71" s="105"/>
      <c r="U71" s="105"/>
      <c r="V71" s="101"/>
      <c r="X71" s="116"/>
    </row>
    <row r="73" spans="3:24" x14ac:dyDescent="0.15">
      <c r="C73" t="s">
        <v>367</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429E3-7E82-44E2-857F-C57233A028A0}">
  <dimension ref="A1:S135"/>
  <sheetViews>
    <sheetView showGridLines="0" zoomScaleNormal="100" workbookViewId="0">
      <selection activeCell="C5" sqref="C5"/>
    </sheetView>
  </sheetViews>
  <sheetFormatPr defaultRowHeight="13.5" x14ac:dyDescent="0.15"/>
  <cols>
    <col min="1" max="36" width="2.625" style="81" customWidth="1"/>
    <col min="37" max="16384" width="9" style="81"/>
  </cols>
  <sheetData>
    <row r="1" spans="1:4" x14ac:dyDescent="0.15">
      <c r="A1" s="113" t="s">
        <v>84</v>
      </c>
    </row>
    <row r="3" spans="1:4" x14ac:dyDescent="0.15">
      <c r="B3" s="114" t="s">
        <v>44</v>
      </c>
      <c r="C3" s="114" t="s">
        <v>85</v>
      </c>
    </row>
    <row r="4" spans="1:4" x14ac:dyDescent="0.15">
      <c r="C4" s="119" t="s">
        <v>86</v>
      </c>
    </row>
    <row r="5" spans="1:4" x14ac:dyDescent="0.15">
      <c r="C5" s="119" t="s">
        <v>87</v>
      </c>
    </row>
    <row r="6" spans="1:4" x14ac:dyDescent="0.15">
      <c r="D6" s="119" t="s">
        <v>88</v>
      </c>
    </row>
    <row r="7" spans="1:4" x14ac:dyDescent="0.15">
      <c r="D7" s="81" t="s">
        <v>89</v>
      </c>
    </row>
    <row r="8" spans="1:4" x14ac:dyDescent="0.15">
      <c r="D8" s="81" t="s">
        <v>90</v>
      </c>
    </row>
    <row r="9" spans="1:4" x14ac:dyDescent="0.15">
      <c r="C9" s="119" t="s">
        <v>391</v>
      </c>
    </row>
    <row r="11" spans="1:4" x14ac:dyDescent="0.15">
      <c r="C11" s="119" t="s">
        <v>392</v>
      </c>
    </row>
    <row r="12" spans="1:4" x14ac:dyDescent="0.15">
      <c r="D12" s="119" t="s">
        <v>414</v>
      </c>
    </row>
    <row r="14" spans="1:4" x14ac:dyDescent="0.15">
      <c r="D14" s="119" t="s">
        <v>415</v>
      </c>
    </row>
    <row r="15" spans="1:4" x14ac:dyDescent="0.15">
      <c r="D15" s="119" t="s">
        <v>368</v>
      </c>
    </row>
    <row r="17" spans="2:4" x14ac:dyDescent="0.15">
      <c r="B17" s="114" t="s">
        <v>44</v>
      </c>
      <c r="C17" s="114" t="s">
        <v>389</v>
      </c>
    </row>
    <row r="18" spans="2:4" x14ac:dyDescent="0.15">
      <c r="C18" s="119" t="s">
        <v>370</v>
      </c>
    </row>
    <row r="19" spans="2:4" x14ac:dyDescent="0.15">
      <c r="D19" s="81" t="s">
        <v>371</v>
      </c>
    </row>
    <row r="20" spans="2:4" x14ac:dyDescent="0.15">
      <c r="D20" s="81" t="s">
        <v>372</v>
      </c>
    </row>
    <row r="21" spans="2:4" x14ac:dyDescent="0.15">
      <c r="D21" s="81" t="s">
        <v>373</v>
      </c>
    </row>
    <row r="22" spans="2:4" x14ac:dyDescent="0.15">
      <c r="D22" s="81" t="s">
        <v>374</v>
      </c>
    </row>
    <row r="23" spans="2:4" x14ac:dyDescent="0.15">
      <c r="D23" s="81" t="s">
        <v>375</v>
      </c>
    </row>
    <row r="24" spans="2:4" x14ac:dyDescent="0.15">
      <c r="D24" s="81" t="s">
        <v>376</v>
      </c>
    </row>
    <row r="25" spans="2:4" x14ac:dyDescent="0.15">
      <c r="D25" s="81" t="s">
        <v>377</v>
      </c>
    </row>
    <row r="26" spans="2:4" x14ac:dyDescent="0.15">
      <c r="D26" s="81" t="s">
        <v>378</v>
      </c>
    </row>
    <row r="27" spans="2:4" x14ac:dyDescent="0.15">
      <c r="D27" s="81" t="s">
        <v>379</v>
      </c>
    </row>
    <row r="28" spans="2:4" x14ac:dyDescent="0.15">
      <c r="D28" s="81" t="s">
        <v>380</v>
      </c>
    </row>
    <row r="29" spans="2:4" x14ac:dyDescent="0.15">
      <c r="D29" s="81" t="s">
        <v>381</v>
      </c>
    </row>
    <row r="30" spans="2:4" x14ac:dyDescent="0.15">
      <c r="D30" s="81" t="s">
        <v>382</v>
      </c>
    </row>
    <row r="31" spans="2:4" x14ac:dyDescent="0.15">
      <c r="D31" s="81" t="s">
        <v>383</v>
      </c>
    </row>
    <row r="32" spans="2:4" x14ac:dyDescent="0.15">
      <c r="D32" s="81" t="s">
        <v>384</v>
      </c>
    </row>
    <row r="33" spans="3:19" x14ac:dyDescent="0.15">
      <c r="D33" s="81" t="s">
        <v>385</v>
      </c>
    </row>
    <row r="34" spans="3:19" x14ac:dyDescent="0.15">
      <c r="D34" s="81" t="s">
        <v>386</v>
      </c>
    </row>
    <row r="35" spans="3:19" x14ac:dyDescent="0.15">
      <c r="D35" s="81" t="s">
        <v>387</v>
      </c>
    </row>
    <row r="37" spans="3:19" x14ac:dyDescent="0.15">
      <c r="C37" s="119" t="s">
        <v>369</v>
      </c>
    </row>
    <row r="38" spans="3:19" x14ac:dyDescent="0.15">
      <c r="C38" s="81" t="s">
        <v>91</v>
      </c>
    </row>
    <row r="39" spans="3:19" x14ac:dyDescent="0.15">
      <c r="C39" s="164" t="s">
        <v>92</v>
      </c>
      <c r="D39" s="164"/>
    </row>
    <row r="40" spans="3:19" x14ac:dyDescent="0.15">
      <c r="D40" s="82"/>
      <c r="R40" s="83" t="s">
        <v>93</v>
      </c>
      <c r="S40" s="84" t="s">
        <v>92</v>
      </c>
    </row>
    <row r="41" spans="3:19" x14ac:dyDescent="0.15">
      <c r="D41" s="85"/>
      <c r="E41" s="86"/>
      <c r="F41" s="85"/>
      <c r="G41" s="86"/>
      <c r="H41" s="85"/>
      <c r="I41" s="86"/>
      <c r="J41" s="87"/>
      <c r="K41" s="88"/>
      <c r="R41" s="89">
        <v>10</v>
      </c>
      <c r="S41" s="90">
        <v>10</v>
      </c>
    </row>
    <row r="42" spans="3:19" x14ac:dyDescent="0.15">
      <c r="C42" s="81">
        <v>15</v>
      </c>
      <c r="D42" s="91"/>
      <c r="E42" s="92"/>
      <c r="F42" s="91"/>
      <c r="G42" s="92"/>
      <c r="H42" s="91"/>
      <c r="I42" s="92"/>
      <c r="J42" s="93"/>
      <c r="K42" s="94"/>
      <c r="R42" s="89">
        <v>10</v>
      </c>
      <c r="S42" s="90">
        <v>11</v>
      </c>
    </row>
    <row r="43" spans="3:19" x14ac:dyDescent="0.15">
      <c r="D43" s="85"/>
      <c r="E43" s="86"/>
      <c r="F43" s="85"/>
      <c r="G43" s="86"/>
      <c r="H43" s="87"/>
      <c r="I43" s="88"/>
      <c r="J43" s="87"/>
      <c r="K43" s="88"/>
      <c r="R43" s="89">
        <v>11</v>
      </c>
      <c r="S43" s="90">
        <v>11</v>
      </c>
    </row>
    <row r="44" spans="3:19" x14ac:dyDescent="0.15">
      <c r="C44" s="81">
        <v>14</v>
      </c>
      <c r="D44" s="91"/>
      <c r="E44" s="92"/>
      <c r="F44" s="91"/>
      <c r="G44" s="92"/>
      <c r="H44" s="93"/>
      <c r="I44" s="94"/>
      <c r="J44" s="93"/>
      <c r="K44" s="94"/>
      <c r="R44" s="89">
        <v>11</v>
      </c>
      <c r="S44" s="90">
        <v>12</v>
      </c>
    </row>
    <row r="45" spans="3:19" x14ac:dyDescent="0.15">
      <c r="D45" s="85"/>
      <c r="E45" s="86"/>
      <c r="F45" s="87"/>
      <c r="G45" s="88"/>
      <c r="H45" s="87"/>
      <c r="I45" s="88"/>
      <c r="J45" s="85"/>
      <c r="K45" s="86"/>
      <c r="R45" s="89">
        <v>11</v>
      </c>
      <c r="S45" s="90">
        <v>13</v>
      </c>
    </row>
    <row r="46" spans="3:19" x14ac:dyDescent="0.15">
      <c r="C46" s="81">
        <v>13</v>
      </c>
      <c r="D46" s="91"/>
      <c r="E46" s="92"/>
      <c r="F46" s="93"/>
      <c r="G46" s="94"/>
      <c r="H46" s="93"/>
      <c r="I46" s="94"/>
      <c r="J46" s="91"/>
      <c r="K46" s="92"/>
      <c r="R46" s="89">
        <v>12</v>
      </c>
      <c r="S46" s="90">
        <v>13</v>
      </c>
    </row>
    <row r="47" spans="3:19" x14ac:dyDescent="0.15">
      <c r="D47" s="85"/>
      <c r="E47" s="86"/>
      <c r="F47" s="87"/>
      <c r="G47" s="88"/>
      <c r="H47" s="85"/>
      <c r="I47" s="86"/>
      <c r="J47" s="85"/>
      <c r="K47" s="86"/>
      <c r="R47" s="89">
        <v>12</v>
      </c>
      <c r="S47" s="90">
        <v>14</v>
      </c>
    </row>
    <row r="48" spans="3:19" x14ac:dyDescent="0.15">
      <c r="C48" s="81">
        <v>12</v>
      </c>
      <c r="D48" s="91"/>
      <c r="E48" s="92"/>
      <c r="F48" s="93"/>
      <c r="G48" s="94"/>
      <c r="H48" s="91"/>
      <c r="I48" s="92"/>
      <c r="J48" s="91"/>
      <c r="K48" s="92"/>
      <c r="R48" s="89">
        <v>13</v>
      </c>
      <c r="S48" s="90">
        <v>14</v>
      </c>
    </row>
    <row r="49" spans="3:19" x14ac:dyDescent="0.15">
      <c r="D49" s="87"/>
      <c r="E49" s="88"/>
      <c r="F49" s="87"/>
      <c r="G49" s="88"/>
      <c r="H49" s="85"/>
      <c r="I49" s="86"/>
      <c r="J49" s="85"/>
      <c r="K49" s="86"/>
      <c r="R49" s="82">
        <v>13</v>
      </c>
      <c r="S49" s="95">
        <v>15</v>
      </c>
    </row>
    <row r="50" spans="3:19" x14ac:dyDescent="0.15">
      <c r="C50" s="81">
        <v>11</v>
      </c>
      <c r="D50" s="93"/>
      <c r="E50" s="94"/>
      <c r="F50" s="93"/>
      <c r="G50" s="94"/>
      <c r="H50" s="91"/>
      <c r="I50" s="92"/>
      <c r="J50" s="91"/>
      <c r="K50" s="92"/>
    </row>
    <row r="51" spans="3:19" x14ac:dyDescent="0.15">
      <c r="D51" s="87"/>
      <c r="E51" s="88"/>
      <c r="F51" s="85"/>
      <c r="G51" s="86"/>
      <c r="H51" s="85"/>
      <c r="I51" s="86"/>
      <c r="J51" s="85"/>
      <c r="K51" s="86"/>
    </row>
    <row r="52" spans="3:19" x14ac:dyDescent="0.15">
      <c r="C52" s="81">
        <v>10</v>
      </c>
      <c r="D52" s="93"/>
      <c r="E52" s="94"/>
      <c r="F52" s="91"/>
      <c r="G52" s="92"/>
      <c r="H52" s="91"/>
      <c r="I52" s="92"/>
      <c r="J52" s="91"/>
      <c r="K52" s="92"/>
      <c r="L52" s="82"/>
      <c r="M52" s="165" t="s">
        <v>93</v>
      </c>
    </row>
    <row r="53" spans="3:19" x14ac:dyDescent="0.15">
      <c r="D53" s="81">
        <v>10</v>
      </c>
      <c r="F53" s="81">
        <v>11</v>
      </c>
      <c r="H53" s="81">
        <v>12</v>
      </c>
      <c r="J53" s="81">
        <v>13</v>
      </c>
      <c r="M53" s="165"/>
    </row>
    <row r="55" spans="3:19" x14ac:dyDescent="0.15">
      <c r="C55" s="81" t="s">
        <v>94</v>
      </c>
    </row>
    <row r="56" spans="3:19" x14ac:dyDescent="0.15">
      <c r="C56" s="164" t="s">
        <v>95</v>
      </c>
      <c r="D56" s="164"/>
      <c r="R56" s="83" t="s">
        <v>93</v>
      </c>
      <c r="S56" s="84" t="s">
        <v>95</v>
      </c>
    </row>
    <row r="57" spans="3:19" x14ac:dyDescent="0.15">
      <c r="D57" s="82"/>
      <c r="R57" s="89">
        <v>10</v>
      </c>
      <c r="S57" s="90">
        <v>10</v>
      </c>
    </row>
    <row r="58" spans="3:19" x14ac:dyDescent="0.15">
      <c r="D58" s="85"/>
      <c r="E58" s="86"/>
      <c r="F58" s="85"/>
      <c r="G58" s="86"/>
      <c r="H58" s="85"/>
      <c r="I58" s="86"/>
      <c r="J58" s="87"/>
      <c r="K58" s="88"/>
      <c r="R58" s="89">
        <v>10</v>
      </c>
      <c r="S58" s="90">
        <v>11</v>
      </c>
    </row>
    <row r="59" spans="3:19" x14ac:dyDescent="0.15">
      <c r="C59" s="81">
        <v>18</v>
      </c>
      <c r="D59" s="91"/>
      <c r="E59" s="92"/>
      <c r="F59" s="91"/>
      <c r="G59" s="92"/>
      <c r="H59" s="91"/>
      <c r="I59" s="92"/>
      <c r="J59" s="93"/>
      <c r="K59" s="94"/>
      <c r="R59" s="89">
        <v>11</v>
      </c>
      <c r="S59" s="90">
        <v>11</v>
      </c>
    </row>
    <row r="60" spans="3:19" x14ac:dyDescent="0.15">
      <c r="D60" s="85"/>
      <c r="E60" s="86"/>
      <c r="F60" s="85"/>
      <c r="G60" s="86"/>
      <c r="H60" s="87"/>
      <c r="I60" s="88"/>
      <c r="J60" s="87"/>
      <c r="K60" s="88"/>
      <c r="R60" s="89">
        <v>11</v>
      </c>
      <c r="S60" s="90">
        <v>12</v>
      </c>
    </row>
    <row r="61" spans="3:19" x14ac:dyDescent="0.15">
      <c r="C61" s="81">
        <v>17</v>
      </c>
      <c r="D61" s="91"/>
      <c r="E61" s="92"/>
      <c r="F61" s="91"/>
      <c r="G61" s="92"/>
      <c r="H61" s="93"/>
      <c r="I61" s="94"/>
      <c r="J61" s="93"/>
      <c r="K61" s="94"/>
      <c r="R61" s="89">
        <v>11</v>
      </c>
      <c r="S61" s="90">
        <v>13</v>
      </c>
    </row>
    <row r="62" spans="3:19" x14ac:dyDescent="0.15">
      <c r="D62" s="85"/>
      <c r="E62" s="86"/>
      <c r="F62" s="85"/>
      <c r="G62" s="86"/>
      <c r="H62" s="87"/>
      <c r="I62" s="88"/>
      <c r="J62" s="85"/>
      <c r="K62" s="86"/>
      <c r="R62" s="89">
        <v>11</v>
      </c>
      <c r="S62" s="90">
        <v>14</v>
      </c>
    </row>
    <row r="63" spans="3:19" x14ac:dyDescent="0.15">
      <c r="C63" s="81">
        <v>16</v>
      </c>
      <c r="D63" s="91"/>
      <c r="E63" s="92"/>
      <c r="F63" s="91"/>
      <c r="G63" s="92"/>
      <c r="H63" s="93"/>
      <c r="I63" s="94"/>
      <c r="J63" s="91"/>
      <c r="K63" s="92"/>
      <c r="R63" s="89">
        <v>12</v>
      </c>
      <c r="S63" s="90">
        <v>14</v>
      </c>
    </row>
    <row r="64" spans="3:19" x14ac:dyDescent="0.15">
      <c r="D64" s="85"/>
      <c r="E64" s="86"/>
      <c r="F64" s="85"/>
      <c r="G64" s="86"/>
      <c r="H64" s="87"/>
      <c r="I64" s="88"/>
      <c r="J64" s="85"/>
      <c r="K64" s="86"/>
      <c r="R64" s="89">
        <v>12</v>
      </c>
      <c r="S64" s="90">
        <v>15</v>
      </c>
    </row>
    <row r="65" spans="3:19" x14ac:dyDescent="0.15">
      <c r="C65" s="81">
        <v>15</v>
      </c>
      <c r="D65" s="91"/>
      <c r="E65" s="92"/>
      <c r="F65" s="91"/>
      <c r="G65" s="92"/>
      <c r="H65" s="93"/>
      <c r="I65" s="94"/>
      <c r="J65" s="91"/>
      <c r="K65" s="92"/>
      <c r="R65" s="89">
        <v>12</v>
      </c>
      <c r="S65" s="90">
        <v>16</v>
      </c>
    </row>
    <row r="66" spans="3:19" x14ac:dyDescent="0.15">
      <c r="D66" s="85"/>
      <c r="E66" s="86"/>
      <c r="F66" s="87"/>
      <c r="G66" s="88"/>
      <c r="H66" s="87"/>
      <c r="I66" s="88"/>
      <c r="J66" s="85"/>
      <c r="K66" s="86"/>
      <c r="R66" s="89">
        <v>12</v>
      </c>
      <c r="S66" s="90">
        <v>17</v>
      </c>
    </row>
    <row r="67" spans="3:19" x14ac:dyDescent="0.15">
      <c r="C67" s="81">
        <v>14</v>
      </c>
      <c r="D67" s="91"/>
      <c r="E67" s="92"/>
      <c r="F67" s="93"/>
      <c r="G67" s="94"/>
      <c r="H67" s="93"/>
      <c r="I67" s="94"/>
      <c r="J67" s="91"/>
      <c r="K67" s="92"/>
      <c r="R67" s="89">
        <v>13</v>
      </c>
      <c r="S67" s="90">
        <v>17</v>
      </c>
    </row>
    <row r="68" spans="3:19" x14ac:dyDescent="0.15">
      <c r="D68" s="85"/>
      <c r="E68" s="86"/>
      <c r="F68" s="87"/>
      <c r="G68" s="88"/>
      <c r="H68" s="85"/>
      <c r="I68" s="86"/>
      <c r="J68" s="85"/>
      <c r="K68" s="86"/>
      <c r="R68" s="82">
        <v>13</v>
      </c>
      <c r="S68" s="95">
        <v>18</v>
      </c>
    </row>
    <row r="69" spans="3:19" x14ac:dyDescent="0.15">
      <c r="C69" s="81">
        <v>13</v>
      </c>
      <c r="D69" s="91"/>
      <c r="E69" s="92"/>
      <c r="F69" s="93"/>
      <c r="G69" s="94"/>
      <c r="H69" s="91"/>
      <c r="I69" s="92"/>
      <c r="J69" s="91"/>
      <c r="K69" s="92"/>
    </row>
    <row r="70" spans="3:19" x14ac:dyDescent="0.15">
      <c r="D70" s="85"/>
      <c r="E70" s="86"/>
      <c r="F70" s="87"/>
      <c r="G70" s="88"/>
      <c r="H70" s="85"/>
      <c r="I70" s="86"/>
      <c r="J70" s="85"/>
      <c r="K70" s="86"/>
    </row>
    <row r="71" spans="3:19" x14ac:dyDescent="0.15">
      <c r="C71" s="81">
        <v>12</v>
      </c>
      <c r="D71" s="91"/>
      <c r="E71" s="92"/>
      <c r="F71" s="93"/>
      <c r="G71" s="94"/>
      <c r="H71" s="91"/>
      <c r="I71" s="92"/>
      <c r="J71" s="91"/>
      <c r="K71" s="92"/>
    </row>
    <row r="72" spans="3:19" x14ac:dyDescent="0.15">
      <c r="D72" s="87"/>
      <c r="E72" s="88"/>
      <c r="F72" s="87"/>
      <c r="G72" s="88"/>
      <c r="H72" s="85"/>
      <c r="I72" s="86"/>
      <c r="J72" s="85"/>
      <c r="K72" s="86"/>
    </row>
    <row r="73" spans="3:19" x14ac:dyDescent="0.15">
      <c r="C73" s="81">
        <v>11</v>
      </c>
      <c r="D73" s="93"/>
      <c r="E73" s="94"/>
      <c r="F73" s="93"/>
      <c r="G73" s="94"/>
      <c r="H73" s="91"/>
      <c r="I73" s="92"/>
      <c r="J73" s="91"/>
      <c r="K73" s="92"/>
    </row>
    <row r="74" spans="3:19" x14ac:dyDescent="0.15">
      <c r="D74" s="87"/>
      <c r="E74" s="88"/>
      <c r="F74" s="85"/>
      <c r="G74" s="86"/>
      <c r="H74" s="85"/>
      <c r="I74" s="86"/>
      <c r="J74" s="85"/>
      <c r="K74" s="86"/>
    </row>
    <row r="75" spans="3:19" x14ac:dyDescent="0.15">
      <c r="C75" s="81">
        <v>10</v>
      </c>
      <c r="D75" s="93"/>
      <c r="E75" s="94"/>
      <c r="F75" s="91"/>
      <c r="G75" s="92"/>
      <c r="H75" s="91"/>
      <c r="I75" s="92"/>
      <c r="J75" s="91"/>
      <c r="K75" s="92"/>
      <c r="L75" s="82"/>
      <c r="M75" s="165" t="s">
        <v>93</v>
      </c>
    </row>
    <row r="76" spans="3:19" x14ac:dyDescent="0.15">
      <c r="D76" s="81">
        <v>10</v>
      </c>
      <c r="F76" s="81">
        <v>11</v>
      </c>
      <c r="H76" s="81">
        <v>12</v>
      </c>
      <c r="J76" s="81">
        <v>13</v>
      </c>
      <c r="M76" s="165"/>
    </row>
    <row r="78" spans="3:19" x14ac:dyDescent="0.15">
      <c r="C78" s="81" t="s">
        <v>96</v>
      </c>
    </row>
    <row r="79" spans="3:19" x14ac:dyDescent="0.15">
      <c r="C79" s="164" t="s">
        <v>95</v>
      </c>
      <c r="D79" s="164"/>
      <c r="R79" s="83" t="s">
        <v>92</v>
      </c>
      <c r="S79" s="84" t="s">
        <v>95</v>
      </c>
    </row>
    <row r="80" spans="3:19" x14ac:dyDescent="0.15">
      <c r="D80" s="82"/>
      <c r="R80" s="89">
        <v>10</v>
      </c>
      <c r="S80" s="90">
        <v>10</v>
      </c>
    </row>
    <row r="81" spans="3:19" x14ac:dyDescent="0.15">
      <c r="D81" s="85"/>
      <c r="E81" s="86"/>
      <c r="F81" s="85"/>
      <c r="G81" s="86"/>
      <c r="H81" s="85"/>
      <c r="I81" s="86"/>
      <c r="J81" s="85"/>
      <c r="K81" s="86"/>
      <c r="L81" s="85"/>
      <c r="M81" s="86"/>
      <c r="N81" s="87"/>
      <c r="O81" s="88"/>
      <c r="R81" s="89">
        <v>10</v>
      </c>
      <c r="S81" s="90">
        <v>11</v>
      </c>
    </row>
    <row r="82" spans="3:19" x14ac:dyDescent="0.15">
      <c r="C82" s="81">
        <v>18</v>
      </c>
      <c r="D82" s="91"/>
      <c r="E82" s="92"/>
      <c r="F82" s="91"/>
      <c r="G82" s="92"/>
      <c r="H82" s="91"/>
      <c r="I82" s="92"/>
      <c r="J82" s="91"/>
      <c r="K82" s="92"/>
      <c r="L82" s="91"/>
      <c r="M82" s="92"/>
      <c r="N82" s="93"/>
      <c r="O82" s="94"/>
      <c r="R82" s="89">
        <v>11</v>
      </c>
      <c r="S82" s="90">
        <v>11</v>
      </c>
    </row>
    <row r="83" spans="3:19" x14ac:dyDescent="0.15">
      <c r="D83" s="85"/>
      <c r="E83" s="86"/>
      <c r="F83" s="85"/>
      <c r="G83" s="86"/>
      <c r="H83" s="85"/>
      <c r="I83" s="86"/>
      <c r="J83" s="85"/>
      <c r="K83" s="86"/>
      <c r="L83" s="87"/>
      <c r="M83" s="88"/>
      <c r="N83" s="87"/>
      <c r="O83" s="88"/>
      <c r="R83" s="89">
        <v>11</v>
      </c>
      <c r="S83" s="90">
        <v>12</v>
      </c>
    </row>
    <row r="84" spans="3:19" x14ac:dyDescent="0.15">
      <c r="C84" s="81">
        <v>17</v>
      </c>
      <c r="D84" s="91"/>
      <c r="E84" s="92"/>
      <c r="F84" s="91"/>
      <c r="G84" s="92"/>
      <c r="H84" s="91"/>
      <c r="I84" s="92"/>
      <c r="J84" s="91"/>
      <c r="K84" s="92"/>
      <c r="L84" s="93"/>
      <c r="M84" s="94"/>
      <c r="N84" s="93"/>
      <c r="O84" s="94"/>
      <c r="R84" s="89">
        <v>12</v>
      </c>
      <c r="S84" s="90">
        <v>12</v>
      </c>
    </row>
    <row r="85" spans="3:19" x14ac:dyDescent="0.15">
      <c r="D85" s="85"/>
      <c r="E85" s="86"/>
      <c r="F85" s="85"/>
      <c r="G85" s="86"/>
      <c r="H85" s="85"/>
      <c r="I85" s="86"/>
      <c r="J85" s="87"/>
      <c r="K85" s="88"/>
      <c r="L85" s="87"/>
      <c r="M85" s="88"/>
      <c r="N85" s="85"/>
      <c r="O85" s="86"/>
      <c r="R85" s="89">
        <v>12</v>
      </c>
      <c r="S85" s="90">
        <v>13</v>
      </c>
    </row>
    <row r="86" spans="3:19" x14ac:dyDescent="0.15">
      <c r="C86" s="81">
        <v>16</v>
      </c>
      <c r="D86" s="91"/>
      <c r="E86" s="92"/>
      <c r="F86" s="91"/>
      <c r="G86" s="92"/>
      <c r="H86" s="91"/>
      <c r="I86" s="92"/>
      <c r="J86" s="93"/>
      <c r="K86" s="94"/>
      <c r="L86" s="93"/>
      <c r="M86" s="94"/>
      <c r="N86" s="91"/>
      <c r="O86" s="92"/>
      <c r="R86" s="89">
        <v>12</v>
      </c>
      <c r="S86" s="90">
        <v>14</v>
      </c>
    </row>
    <row r="87" spans="3:19" x14ac:dyDescent="0.15">
      <c r="D87" s="85"/>
      <c r="E87" s="86"/>
      <c r="F87" s="85"/>
      <c r="G87" s="86"/>
      <c r="H87" s="85"/>
      <c r="I87" s="86"/>
      <c r="J87" s="87"/>
      <c r="K87" s="88"/>
      <c r="L87" s="85"/>
      <c r="M87" s="86"/>
      <c r="N87" s="85"/>
      <c r="O87" s="86"/>
      <c r="R87" s="89">
        <v>13</v>
      </c>
      <c r="S87" s="90">
        <v>14</v>
      </c>
    </row>
    <row r="88" spans="3:19" x14ac:dyDescent="0.15">
      <c r="C88" s="81">
        <v>15</v>
      </c>
      <c r="D88" s="91"/>
      <c r="E88" s="92"/>
      <c r="F88" s="91"/>
      <c r="G88" s="92"/>
      <c r="H88" s="91"/>
      <c r="I88" s="92"/>
      <c r="J88" s="93"/>
      <c r="K88" s="94"/>
      <c r="L88" s="91"/>
      <c r="M88" s="92"/>
      <c r="N88" s="91"/>
      <c r="O88" s="92"/>
      <c r="R88" s="89">
        <v>13</v>
      </c>
      <c r="S88" s="90">
        <v>15</v>
      </c>
    </row>
    <row r="89" spans="3:19" x14ac:dyDescent="0.15">
      <c r="D89" s="85"/>
      <c r="E89" s="86"/>
      <c r="F89" s="85"/>
      <c r="G89" s="86"/>
      <c r="H89" s="87"/>
      <c r="I89" s="88"/>
      <c r="J89" s="87"/>
      <c r="K89" s="88"/>
      <c r="L89" s="85"/>
      <c r="M89" s="86"/>
      <c r="N89" s="85"/>
      <c r="O89" s="86"/>
      <c r="R89" s="89">
        <v>13</v>
      </c>
      <c r="S89" s="90">
        <v>16</v>
      </c>
    </row>
    <row r="90" spans="3:19" x14ac:dyDescent="0.15">
      <c r="C90" s="81">
        <v>14</v>
      </c>
      <c r="D90" s="91"/>
      <c r="E90" s="92"/>
      <c r="F90" s="91"/>
      <c r="G90" s="92"/>
      <c r="H90" s="93"/>
      <c r="I90" s="94"/>
      <c r="J90" s="93"/>
      <c r="K90" s="94"/>
      <c r="L90" s="91"/>
      <c r="M90" s="92"/>
      <c r="N90" s="91"/>
      <c r="O90" s="92"/>
      <c r="R90" s="89">
        <v>14</v>
      </c>
      <c r="S90" s="90">
        <v>16</v>
      </c>
    </row>
    <row r="91" spans="3:19" x14ac:dyDescent="0.15">
      <c r="D91" s="85"/>
      <c r="E91" s="86"/>
      <c r="F91" s="85"/>
      <c r="G91" s="86"/>
      <c r="H91" s="87"/>
      <c r="I91" s="88"/>
      <c r="J91" s="85"/>
      <c r="K91" s="86"/>
      <c r="L91" s="85"/>
      <c r="M91" s="86"/>
      <c r="N91" s="85"/>
      <c r="O91" s="86"/>
      <c r="R91" s="89">
        <v>14</v>
      </c>
      <c r="S91" s="90">
        <v>17</v>
      </c>
    </row>
    <row r="92" spans="3:19" x14ac:dyDescent="0.15">
      <c r="C92" s="81">
        <v>13</v>
      </c>
      <c r="D92" s="91"/>
      <c r="E92" s="92"/>
      <c r="F92" s="91"/>
      <c r="G92" s="92"/>
      <c r="H92" s="93"/>
      <c r="I92" s="94"/>
      <c r="J92" s="91"/>
      <c r="K92" s="92"/>
      <c r="L92" s="91"/>
      <c r="M92" s="92"/>
      <c r="N92" s="91"/>
      <c r="O92" s="92"/>
      <c r="R92" s="89">
        <v>15</v>
      </c>
      <c r="S92" s="90">
        <v>17</v>
      </c>
    </row>
    <row r="93" spans="3:19" x14ac:dyDescent="0.15">
      <c r="D93" s="85"/>
      <c r="E93" s="86"/>
      <c r="F93" s="87"/>
      <c r="G93" s="88"/>
      <c r="H93" s="87"/>
      <c r="I93" s="88"/>
      <c r="J93" s="85"/>
      <c r="K93" s="86"/>
      <c r="L93" s="85"/>
      <c r="M93" s="86"/>
      <c r="N93" s="85"/>
      <c r="O93" s="86"/>
      <c r="R93" s="82">
        <v>15</v>
      </c>
      <c r="S93" s="95">
        <v>18</v>
      </c>
    </row>
    <row r="94" spans="3:19" x14ac:dyDescent="0.15">
      <c r="C94" s="81">
        <v>12</v>
      </c>
      <c r="D94" s="91"/>
      <c r="E94" s="92"/>
      <c r="F94" s="93"/>
      <c r="G94" s="94"/>
      <c r="H94" s="93"/>
      <c r="I94" s="94"/>
      <c r="J94" s="91"/>
      <c r="K94" s="92"/>
      <c r="L94" s="91"/>
      <c r="M94" s="92"/>
      <c r="N94" s="91"/>
      <c r="O94" s="92"/>
    </row>
    <row r="95" spans="3:19" x14ac:dyDescent="0.15">
      <c r="D95" s="87"/>
      <c r="E95" s="88"/>
      <c r="F95" s="87"/>
      <c r="G95" s="88"/>
      <c r="H95" s="85"/>
      <c r="I95" s="86"/>
      <c r="J95" s="85"/>
      <c r="K95" s="86"/>
      <c r="L95" s="85"/>
      <c r="M95" s="86"/>
      <c r="N95" s="85"/>
      <c r="O95" s="86"/>
    </row>
    <row r="96" spans="3:19" x14ac:dyDescent="0.15">
      <c r="C96" s="81">
        <v>11</v>
      </c>
      <c r="D96" s="93"/>
      <c r="E96" s="94"/>
      <c r="F96" s="93"/>
      <c r="G96" s="94"/>
      <c r="H96" s="91"/>
      <c r="I96" s="92"/>
      <c r="J96" s="91"/>
      <c r="K96" s="92"/>
      <c r="L96" s="91"/>
      <c r="M96" s="92"/>
      <c r="N96" s="91"/>
      <c r="O96" s="92"/>
    </row>
    <row r="97" spans="3:18" x14ac:dyDescent="0.15">
      <c r="D97" s="87"/>
      <c r="E97" s="88"/>
      <c r="F97" s="85"/>
      <c r="G97" s="86"/>
      <c r="H97" s="85"/>
      <c r="I97" s="86"/>
      <c r="J97" s="85"/>
      <c r="K97" s="86"/>
      <c r="L97" s="85"/>
      <c r="M97" s="86"/>
      <c r="N97" s="85"/>
      <c r="O97" s="86"/>
    </row>
    <row r="98" spans="3:18" x14ac:dyDescent="0.15">
      <c r="C98" s="81">
        <v>10</v>
      </c>
      <c r="D98" s="93"/>
      <c r="E98" s="94"/>
      <c r="F98" s="91"/>
      <c r="G98" s="92"/>
      <c r="H98" s="91"/>
      <c r="I98" s="92"/>
      <c r="J98" s="91"/>
      <c r="K98" s="92"/>
      <c r="L98" s="91"/>
      <c r="M98" s="92"/>
      <c r="N98" s="91"/>
      <c r="O98" s="92"/>
      <c r="P98" s="82"/>
      <c r="Q98" s="165" t="s">
        <v>92</v>
      </c>
    </row>
    <row r="99" spans="3:18" x14ac:dyDescent="0.15">
      <c r="D99" s="81">
        <v>10</v>
      </c>
      <c r="F99" s="81">
        <v>11</v>
      </c>
      <c r="H99" s="81">
        <v>12</v>
      </c>
      <c r="J99" s="81">
        <v>13</v>
      </c>
      <c r="L99" s="81">
        <v>14</v>
      </c>
      <c r="N99" s="81">
        <v>15</v>
      </c>
      <c r="Q99" s="165"/>
    </row>
    <row r="101" spans="3:18" x14ac:dyDescent="0.15">
      <c r="C101" s="119" t="s">
        <v>388</v>
      </c>
      <c r="D101" s="81" t="s">
        <v>97</v>
      </c>
    </row>
    <row r="102" spans="3:18" x14ac:dyDescent="0.15">
      <c r="D102" s="155" t="s">
        <v>98</v>
      </c>
      <c r="E102" s="156"/>
      <c r="F102" s="155" t="s">
        <v>99</v>
      </c>
      <c r="G102" s="157"/>
      <c r="H102" s="157" t="s">
        <v>100</v>
      </c>
      <c r="I102" s="156"/>
      <c r="K102" s="158" t="s">
        <v>101</v>
      </c>
      <c r="L102" s="159"/>
      <c r="M102" s="159"/>
      <c r="N102" s="159"/>
      <c r="O102" s="159"/>
      <c r="P102" s="159"/>
      <c r="Q102" s="159"/>
      <c r="R102" s="160"/>
    </row>
    <row r="103" spans="3:18" x14ac:dyDescent="0.15">
      <c r="D103" s="83" t="s">
        <v>93</v>
      </c>
      <c r="E103" s="84" t="s">
        <v>92</v>
      </c>
      <c r="F103" s="83" t="s">
        <v>93</v>
      </c>
      <c r="G103" s="84" t="s">
        <v>95</v>
      </c>
      <c r="H103" s="83" t="s">
        <v>92</v>
      </c>
      <c r="I103" s="84" t="s">
        <v>95</v>
      </c>
      <c r="K103" s="161"/>
      <c r="L103" s="162"/>
      <c r="M103" s="162"/>
      <c r="N103" s="162"/>
      <c r="O103" s="162"/>
      <c r="P103" s="162"/>
      <c r="Q103" s="162"/>
      <c r="R103" s="163"/>
    </row>
    <row r="104" spans="3:18" x14ac:dyDescent="0.15">
      <c r="D104" s="89">
        <v>10</v>
      </c>
      <c r="E104" s="90">
        <v>10</v>
      </c>
      <c r="F104" s="89"/>
      <c r="G104" s="90">
        <v>10</v>
      </c>
      <c r="H104" s="89"/>
      <c r="I104" s="90">
        <v>10</v>
      </c>
      <c r="K104" s="96" t="str">
        <f>IF(AND(G104&lt;&gt;"",I104&lt;&gt;""),"○","×")</f>
        <v>○</v>
      </c>
      <c r="L104" s="81" t="str">
        <f>IF(K104="○", "10/"&amp;D104&amp;"/"&amp;E104&amp;"/10/"&amp;G104, "-")</f>
        <v>10/10/10/10/10</v>
      </c>
      <c r="R104" s="90"/>
    </row>
    <row r="105" spans="3:18" x14ac:dyDescent="0.15">
      <c r="D105" s="89">
        <v>10</v>
      </c>
      <c r="E105" s="90">
        <v>10</v>
      </c>
      <c r="F105" s="89"/>
      <c r="G105" s="90">
        <v>11</v>
      </c>
      <c r="H105" s="89"/>
      <c r="I105" s="90">
        <v>11</v>
      </c>
      <c r="K105" s="97" t="str">
        <f t="shared" ref="K105:K135" si="0">IF(AND(G105&lt;&gt;"",I105&lt;&gt;""),"○","×")</f>
        <v>○</v>
      </c>
      <c r="L105" s="81" t="str">
        <f t="shared" ref="L105:L135" si="1">IF(K105="○", "10/"&amp;D105&amp;"/"&amp;E105&amp;"/10/"&amp;G105, "-")</f>
        <v>10/10/10/10/11</v>
      </c>
      <c r="R105" s="90"/>
    </row>
    <row r="106" spans="3:18" x14ac:dyDescent="0.15">
      <c r="D106" s="89">
        <v>10</v>
      </c>
      <c r="E106" s="90">
        <v>11</v>
      </c>
      <c r="F106" s="89"/>
      <c r="G106" s="90">
        <v>10</v>
      </c>
      <c r="H106" s="89"/>
      <c r="I106" s="90"/>
      <c r="K106" s="97" t="str">
        <f t="shared" si="0"/>
        <v>×</v>
      </c>
      <c r="L106" s="81" t="str">
        <f t="shared" si="1"/>
        <v>-</v>
      </c>
      <c r="R106" s="90"/>
    </row>
    <row r="107" spans="3:18" x14ac:dyDescent="0.15">
      <c r="D107" s="89">
        <v>10</v>
      </c>
      <c r="E107" s="90">
        <v>11</v>
      </c>
      <c r="F107" s="89"/>
      <c r="G107" s="90">
        <v>11</v>
      </c>
      <c r="H107" s="89"/>
      <c r="I107" s="90">
        <v>11</v>
      </c>
      <c r="K107" s="97" t="str">
        <f t="shared" si="0"/>
        <v>○</v>
      </c>
      <c r="L107" s="81" t="str">
        <f t="shared" si="1"/>
        <v>10/10/11/10/11</v>
      </c>
      <c r="R107" s="90"/>
    </row>
    <row r="108" spans="3:18" x14ac:dyDescent="0.15">
      <c r="D108" s="89">
        <v>10</v>
      </c>
      <c r="E108" s="90">
        <v>11</v>
      </c>
      <c r="F108" s="89"/>
      <c r="G108" s="90"/>
      <c r="H108" s="89"/>
      <c r="I108" s="90">
        <v>12</v>
      </c>
      <c r="K108" s="97" t="str">
        <f t="shared" si="0"/>
        <v>×</v>
      </c>
      <c r="L108" s="81" t="str">
        <f t="shared" si="1"/>
        <v>-</v>
      </c>
      <c r="R108" s="90"/>
    </row>
    <row r="109" spans="3:18" x14ac:dyDescent="0.15">
      <c r="D109" s="89">
        <v>11</v>
      </c>
      <c r="E109" s="90">
        <v>11</v>
      </c>
      <c r="F109" s="89"/>
      <c r="G109" s="90">
        <v>11</v>
      </c>
      <c r="H109" s="89"/>
      <c r="I109" s="90">
        <v>11</v>
      </c>
      <c r="K109" s="97" t="str">
        <f t="shared" si="0"/>
        <v>○</v>
      </c>
      <c r="L109" s="81" t="str">
        <f t="shared" si="1"/>
        <v>10/11/11/10/11</v>
      </c>
      <c r="R109" s="90"/>
    </row>
    <row r="110" spans="3:18" x14ac:dyDescent="0.15">
      <c r="D110" s="89">
        <v>11</v>
      </c>
      <c r="E110" s="90">
        <v>11</v>
      </c>
      <c r="F110" s="89"/>
      <c r="G110" s="90">
        <v>12</v>
      </c>
      <c r="H110" s="89"/>
      <c r="I110" s="90">
        <v>12</v>
      </c>
      <c r="K110" s="97" t="str">
        <f t="shared" si="0"/>
        <v>○</v>
      </c>
      <c r="L110" s="81" t="str">
        <f t="shared" si="1"/>
        <v>10/11/11/10/12</v>
      </c>
      <c r="R110" s="90"/>
    </row>
    <row r="111" spans="3:18" x14ac:dyDescent="0.15">
      <c r="D111" s="89">
        <v>11</v>
      </c>
      <c r="E111" s="90">
        <v>11</v>
      </c>
      <c r="F111" s="89"/>
      <c r="G111" s="90">
        <v>13</v>
      </c>
      <c r="H111" s="89"/>
      <c r="I111" s="90"/>
      <c r="K111" s="97" t="str">
        <f t="shared" si="0"/>
        <v>×</v>
      </c>
      <c r="L111" s="81" t="str">
        <f t="shared" si="1"/>
        <v>-</v>
      </c>
      <c r="R111" s="90"/>
    </row>
    <row r="112" spans="3:18" x14ac:dyDescent="0.15">
      <c r="D112" s="89">
        <v>11</v>
      </c>
      <c r="E112" s="90">
        <v>11</v>
      </c>
      <c r="F112" s="89"/>
      <c r="G112" s="90">
        <v>14</v>
      </c>
      <c r="H112" s="89"/>
      <c r="I112" s="90"/>
      <c r="K112" s="97" t="str">
        <f t="shared" si="0"/>
        <v>×</v>
      </c>
      <c r="L112" s="81" t="str">
        <f t="shared" si="1"/>
        <v>-</v>
      </c>
      <c r="R112" s="90"/>
    </row>
    <row r="113" spans="4:18" x14ac:dyDescent="0.15">
      <c r="D113" s="89">
        <v>11</v>
      </c>
      <c r="E113" s="90">
        <v>12</v>
      </c>
      <c r="F113" s="89"/>
      <c r="G113" s="90">
        <v>11</v>
      </c>
      <c r="H113" s="89"/>
      <c r="I113" s="90"/>
      <c r="K113" s="97" t="str">
        <f t="shared" si="0"/>
        <v>×</v>
      </c>
      <c r="L113" s="81" t="str">
        <f t="shared" si="1"/>
        <v>-</v>
      </c>
      <c r="R113" s="90"/>
    </row>
    <row r="114" spans="4:18" x14ac:dyDescent="0.15">
      <c r="D114" s="89">
        <v>11</v>
      </c>
      <c r="E114" s="90">
        <v>12</v>
      </c>
      <c r="F114" s="89"/>
      <c r="G114" s="90">
        <v>12</v>
      </c>
      <c r="H114" s="89"/>
      <c r="I114" s="90">
        <v>12</v>
      </c>
      <c r="K114" s="97" t="str">
        <f t="shared" si="0"/>
        <v>○</v>
      </c>
      <c r="L114" s="81" t="str">
        <f t="shared" si="1"/>
        <v>10/11/12/10/12</v>
      </c>
      <c r="R114" s="90"/>
    </row>
    <row r="115" spans="4:18" x14ac:dyDescent="0.15">
      <c r="D115" s="89">
        <v>11</v>
      </c>
      <c r="E115" s="90">
        <v>12</v>
      </c>
      <c r="F115" s="89"/>
      <c r="G115" s="90">
        <v>13</v>
      </c>
      <c r="H115" s="89"/>
      <c r="I115" s="90">
        <v>13</v>
      </c>
      <c r="K115" s="97" t="str">
        <f t="shared" si="0"/>
        <v>○</v>
      </c>
      <c r="L115" s="81" t="str">
        <f t="shared" si="1"/>
        <v>10/11/12/10/13</v>
      </c>
      <c r="R115" s="90"/>
    </row>
    <row r="116" spans="4:18" x14ac:dyDescent="0.15">
      <c r="D116" s="89">
        <v>11</v>
      </c>
      <c r="E116" s="90">
        <v>12</v>
      </c>
      <c r="F116" s="89"/>
      <c r="G116" s="90">
        <v>14</v>
      </c>
      <c r="H116" s="89"/>
      <c r="I116" s="90">
        <v>14</v>
      </c>
      <c r="K116" s="97" t="str">
        <f t="shared" si="0"/>
        <v>○</v>
      </c>
      <c r="L116" s="81" t="str">
        <f t="shared" si="1"/>
        <v>10/11/12/10/14</v>
      </c>
      <c r="R116" s="90"/>
    </row>
    <row r="117" spans="4:18" x14ac:dyDescent="0.15">
      <c r="D117" s="89">
        <v>11</v>
      </c>
      <c r="E117" s="90">
        <v>13</v>
      </c>
      <c r="F117" s="89"/>
      <c r="G117" s="90">
        <v>11</v>
      </c>
      <c r="H117" s="89"/>
      <c r="I117" s="90"/>
      <c r="K117" s="97" t="str">
        <f t="shared" si="0"/>
        <v>×</v>
      </c>
      <c r="L117" s="81" t="str">
        <f t="shared" si="1"/>
        <v>-</v>
      </c>
      <c r="R117" s="90"/>
    </row>
    <row r="118" spans="4:18" x14ac:dyDescent="0.15">
      <c r="D118" s="89">
        <v>11</v>
      </c>
      <c r="E118" s="90">
        <v>13</v>
      </c>
      <c r="F118" s="89"/>
      <c r="G118" s="90">
        <v>12</v>
      </c>
      <c r="H118" s="89"/>
      <c r="I118" s="90"/>
      <c r="K118" s="97" t="str">
        <f t="shared" si="0"/>
        <v>×</v>
      </c>
      <c r="L118" s="81" t="str">
        <f t="shared" si="1"/>
        <v>-</v>
      </c>
      <c r="R118" s="90"/>
    </row>
    <row r="119" spans="4:18" x14ac:dyDescent="0.15">
      <c r="D119" s="89">
        <v>11</v>
      </c>
      <c r="E119" s="90">
        <v>13</v>
      </c>
      <c r="F119" s="89"/>
      <c r="G119" s="90">
        <v>13</v>
      </c>
      <c r="H119" s="89"/>
      <c r="I119" s="90"/>
      <c r="K119" s="97" t="str">
        <f t="shared" si="0"/>
        <v>×</v>
      </c>
      <c r="L119" s="81" t="str">
        <f t="shared" si="1"/>
        <v>-</v>
      </c>
      <c r="R119" s="90"/>
    </row>
    <row r="120" spans="4:18" x14ac:dyDescent="0.15">
      <c r="D120" s="89">
        <v>11</v>
      </c>
      <c r="E120" s="90">
        <v>13</v>
      </c>
      <c r="F120" s="89"/>
      <c r="G120" s="90">
        <v>14</v>
      </c>
      <c r="H120" s="89"/>
      <c r="I120" s="90">
        <v>14</v>
      </c>
      <c r="K120" s="97" t="str">
        <f t="shared" si="0"/>
        <v>○</v>
      </c>
      <c r="L120" s="81" t="str">
        <f t="shared" si="1"/>
        <v>10/11/13/10/14</v>
      </c>
      <c r="R120" s="90"/>
    </row>
    <row r="121" spans="4:18" x14ac:dyDescent="0.15">
      <c r="D121" s="89">
        <v>11</v>
      </c>
      <c r="E121" s="90">
        <v>13</v>
      </c>
      <c r="F121" s="89"/>
      <c r="G121" s="90"/>
      <c r="H121" s="89"/>
      <c r="I121" s="90">
        <v>15</v>
      </c>
      <c r="K121" s="97" t="str">
        <f t="shared" si="0"/>
        <v>×</v>
      </c>
      <c r="L121" s="81" t="str">
        <f t="shared" si="1"/>
        <v>-</v>
      </c>
      <c r="R121" s="90"/>
    </row>
    <row r="122" spans="4:18" x14ac:dyDescent="0.15">
      <c r="D122" s="89">
        <v>11</v>
      </c>
      <c r="E122" s="90">
        <v>13</v>
      </c>
      <c r="F122" s="89"/>
      <c r="G122" s="90"/>
      <c r="H122" s="89"/>
      <c r="I122" s="90">
        <v>16</v>
      </c>
      <c r="K122" s="97" t="str">
        <f t="shared" si="0"/>
        <v>×</v>
      </c>
      <c r="L122" s="81" t="str">
        <f t="shared" si="1"/>
        <v>-</v>
      </c>
      <c r="R122" s="90"/>
    </row>
    <row r="123" spans="4:18" x14ac:dyDescent="0.15">
      <c r="D123" s="89">
        <v>12</v>
      </c>
      <c r="E123" s="90">
        <v>13</v>
      </c>
      <c r="F123" s="89"/>
      <c r="G123" s="90">
        <v>14</v>
      </c>
      <c r="H123" s="89"/>
      <c r="I123" s="90">
        <v>14</v>
      </c>
      <c r="K123" s="97" t="str">
        <f t="shared" si="0"/>
        <v>○</v>
      </c>
      <c r="L123" s="81" t="str">
        <f t="shared" si="1"/>
        <v>10/12/13/10/14</v>
      </c>
      <c r="R123" s="90"/>
    </row>
    <row r="124" spans="4:18" x14ac:dyDescent="0.15">
      <c r="D124" s="89">
        <v>12</v>
      </c>
      <c r="E124" s="90">
        <v>13</v>
      </c>
      <c r="F124" s="89"/>
      <c r="G124" s="90">
        <v>15</v>
      </c>
      <c r="H124" s="89"/>
      <c r="I124" s="90">
        <v>15</v>
      </c>
      <c r="K124" s="97" t="str">
        <f t="shared" si="0"/>
        <v>○</v>
      </c>
      <c r="L124" s="81" t="str">
        <f t="shared" si="1"/>
        <v>10/12/13/10/15</v>
      </c>
      <c r="R124" s="90"/>
    </row>
    <row r="125" spans="4:18" x14ac:dyDescent="0.15">
      <c r="D125" s="89">
        <v>12</v>
      </c>
      <c r="E125" s="90">
        <v>13</v>
      </c>
      <c r="F125" s="89"/>
      <c r="G125" s="90">
        <v>16</v>
      </c>
      <c r="H125" s="89"/>
      <c r="I125" s="90">
        <v>16</v>
      </c>
      <c r="K125" s="97" t="str">
        <f t="shared" si="0"/>
        <v>○</v>
      </c>
      <c r="L125" s="81" t="str">
        <f t="shared" si="1"/>
        <v>10/12/13/10/16</v>
      </c>
      <c r="R125" s="90"/>
    </row>
    <row r="126" spans="4:18" x14ac:dyDescent="0.15">
      <c r="D126" s="89">
        <v>12</v>
      </c>
      <c r="E126" s="90">
        <v>13</v>
      </c>
      <c r="F126" s="89"/>
      <c r="G126" s="90">
        <v>17</v>
      </c>
      <c r="H126" s="89"/>
      <c r="I126" s="90"/>
      <c r="K126" s="97" t="str">
        <f t="shared" si="0"/>
        <v>×</v>
      </c>
      <c r="L126" s="81" t="str">
        <f t="shared" si="1"/>
        <v>-</v>
      </c>
      <c r="R126" s="90"/>
    </row>
    <row r="127" spans="4:18" x14ac:dyDescent="0.15">
      <c r="D127" s="89">
        <v>12</v>
      </c>
      <c r="E127" s="90">
        <v>14</v>
      </c>
      <c r="F127" s="89"/>
      <c r="G127" s="90">
        <v>14</v>
      </c>
      <c r="H127" s="89"/>
      <c r="I127" s="90"/>
      <c r="K127" s="97" t="str">
        <f t="shared" si="0"/>
        <v>×</v>
      </c>
      <c r="L127" s="81" t="str">
        <f t="shared" si="1"/>
        <v>-</v>
      </c>
      <c r="R127" s="90"/>
    </row>
    <row r="128" spans="4:18" x14ac:dyDescent="0.15">
      <c r="D128" s="89">
        <v>12</v>
      </c>
      <c r="E128" s="90">
        <v>14</v>
      </c>
      <c r="F128" s="89"/>
      <c r="G128" s="90">
        <v>15</v>
      </c>
      <c r="H128" s="89"/>
      <c r="I128" s="90"/>
      <c r="K128" s="97" t="str">
        <f t="shared" si="0"/>
        <v>×</v>
      </c>
      <c r="L128" s="81" t="str">
        <f t="shared" si="1"/>
        <v>-</v>
      </c>
      <c r="R128" s="90"/>
    </row>
    <row r="129" spans="4:18" x14ac:dyDescent="0.15">
      <c r="D129" s="89">
        <v>12</v>
      </c>
      <c r="E129" s="90">
        <v>14</v>
      </c>
      <c r="F129" s="89"/>
      <c r="G129" s="90">
        <v>16</v>
      </c>
      <c r="H129" s="89"/>
      <c r="I129" s="90">
        <v>16</v>
      </c>
      <c r="K129" s="97" t="str">
        <f t="shared" si="0"/>
        <v>○</v>
      </c>
      <c r="L129" s="81" t="str">
        <f t="shared" si="1"/>
        <v>10/12/14/10/16</v>
      </c>
      <c r="R129" s="90"/>
    </row>
    <row r="130" spans="4:18" x14ac:dyDescent="0.15">
      <c r="D130" s="89">
        <v>12</v>
      </c>
      <c r="E130" s="90">
        <v>14</v>
      </c>
      <c r="F130" s="89"/>
      <c r="G130" s="90">
        <v>17</v>
      </c>
      <c r="H130" s="89"/>
      <c r="I130" s="90">
        <v>17</v>
      </c>
      <c r="K130" s="97" t="str">
        <f t="shared" si="0"/>
        <v>○</v>
      </c>
      <c r="L130" s="81" t="str">
        <f t="shared" si="1"/>
        <v>10/12/14/10/17</v>
      </c>
      <c r="R130" s="90"/>
    </row>
    <row r="131" spans="4:18" x14ac:dyDescent="0.15">
      <c r="D131" s="89">
        <v>13</v>
      </c>
      <c r="E131" s="90">
        <v>14</v>
      </c>
      <c r="F131" s="89"/>
      <c r="G131" s="90"/>
      <c r="H131" s="89"/>
      <c r="I131" s="90">
        <v>16</v>
      </c>
      <c r="K131" s="97" t="str">
        <f t="shared" si="0"/>
        <v>×</v>
      </c>
      <c r="L131" s="81" t="str">
        <f t="shared" si="1"/>
        <v>-</v>
      </c>
      <c r="R131" s="90"/>
    </row>
    <row r="132" spans="4:18" x14ac:dyDescent="0.15">
      <c r="D132" s="89">
        <v>13</v>
      </c>
      <c r="E132" s="90">
        <v>14</v>
      </c>
      <c r="F132" s="89"/>
      <c r="G132" s="90">
        <v>17</v>
      </c>
      <c r="H132" s="89"/>
      <c r="I132" s="90">
        <v>17</v>
      </c>
      <c r="K132" s="97" t="str">
        <f t="shared" si="0"/>
        <v>○</v>
      </c>
      <c r="L132" s="81" t="str">
        <f t="shared" si="1"/>
        <v>10/13/14/10/17</v>
      </c>
      <c r="R132" s="90"/>
    </row>
    <row r="133" spans="4:18" x14ac:dyDescent="0.15">
      <c r="D133" s="89">
        <v>13</v>
      </c>
      <c r="E133" s="90">
        <v>14</v>
      </c>
      <c r="F133" s="89"/>
      <c r="G133" s="90">
        <v>18</v>
      </c>
      <c r="H133" s="89"/>
      <c r="I133" s="90"/>
      <c r="K133" s="97" t="str">
        <f t="shared" si="0"/>
        <v>×</v>
      </c>
      <c r="L133" s="81" t="str">
        <f t="shared" si="1"/>
        <v>-</v>
      </c>
      <c r="R133" s="90"/>
    </row>
    <row r="134" spans="4:18" x14ac:dyDescent="0.15">
      <c r="D134" s="89">
        <v>13</v>
      </c>
      <c r="E134" s="90">
        <v>15</v>
      </c>
      <c r="F134" s="89"/>
      <c r="G134" s="90">
        <v>17</v>
      </c>
      <c r="H134" s="89"/>
      <c r="I134" s="90">
        <v>17</v>
      </c>
      <c r="K134" s="97" t="str">
        <f t="shared" si="0"/>
        <v>○</v>
      </c>
      <c r="L134" s="81" t="str">
        <f t="shared" si="1"/>
        <v>10/13/15/10/17</v>
      </c>
      <c r="R134" s="90"/>
    </row>
    <row r="135" spans="4:18" x14ac:dyDescent="0.15">
      <c r="D135" s="82">
        <v>13</v>
      </c>
      <c r="E135" s="95">
        <v>15</v>
      </c>
      <c r="F135" s="82"/>
      <c r="G135" s="95">
        <v>18</v>
      </c>
      <c r="H135" s="82"/>
      <c r="I135" s="95">
        <v>18</v>
      </c>
      <c r="K135" s="98" t="str">
        <f t="shared" si="0"/>
        <v>○</v>
      </c>
      <c r="L135" s="99" t="str">
        <f t="shared" si="1"/>
        <v>10/13/15/10/18</v>
      </c>
      <c r="M135" s="99"/>
      <c r="N135" s="99"/>
      <c r="O135" s="99"/>
      <c r="P135" s="99"/>
      <c r="Q135" s="99"/>
      <c r="R135" s="95"/>
    </row>
  </sheetData>
  <mergeCells count="10">
    <mergeCell ref="D102:E102"/>
    <mergeCell ref="F102:G102"/>
    <mergeCell ref="H102:I102"/>
    <mergeCell ref="K102:R103"/>
    <mergeCell ref="C39:D39"/>
    <mergeCell ref="M52:M53"/>
    <mergeCell ref="C56:D56"/>
    <mergeCell ref="M75:M76"/>
    <mergeCell ref="C79:D79"/>
    <mergeCell ref="Q98:Q99"/>
  </mergeCells>
  <phoneticPr fontId="3"/>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F724C-26E4-451E-8E4A-AD794A95AAB9}">
  <dimension ref="A1:V43"/>
  <sheetViews>
    <sheetView showGridLines="0" workbookViewId="0">
      <selection activeCell="I41" sqref="I41"/>
    </sheetView>
  </sheetViews>
  <sheetFormatPr defaultRowHeight="13.5" x14ac:dyDescent="0.15"/>
  <cols>
    <col min="1" max="1" width="2.625" customWidth="1"/>
    <col min="2" max="2" width="2.75" customWidth="1"/>
    <col min="4" max="13" width="12.625" customWidth="1"/>
    <col min="14" max="14" width="15.375" bestFit="1" customWidth="1"/>
    <col min="23" max="23" width="11.75" customWidth="1"/>
  </cols>
  <sheetData>
    <row r="1" spans="1:22" x14ac:dyDescent="0.15">
      <c r="A1" s="113" t="s">
        <v>102</v>
      </c>
    </row>
    <row r="2" spans="1:22" x14ac:dyDescent="0.15">
      <c r="C2" s="106" t="s">
        <v>416</v>
      </c>
      <c r="D2" s="106"/>
    </row>
    <row r="3" spans="1:22" x14ac:dyDescent="0.15">
      <c r="C3" s="106" t="s">
        <v>417</v>
      </c>
      <c r="D3" s="106"/>
    </row>
    <row r="4" spans="1:22" x14ac:dyDescent="0.15">
      <c r="C4" s="106"/>
      <c r="D4" s="106"/>
    </row>
    <row r="5" spans="1:22" x14ac:dyDescent="0.15">
      <c r="C5" s="109" t="s">
        <v>4</v>
      </c>
      <c r="D5" s="112" t="s">
        <v>55</v>
      </c>
      <c r="E5" s="112"/>
      <c r="F5" s="112"/>
      <c r="G5" s="112"/>
      <c r="H5" s="111"/>
      <c r="I5" s="110" t="s">
        <v>46</v>
      </c>
      <c r="J5" s="112"/>
      <c r="K5" s="112"/>
      <c r="L5" s="112"/>
      <c r="M5" s="112"/>
      <c r="N5" s="110" t="s">
        <v>404</v>
      </c>
      <c r="O5" s="110" t="s">
        <v>366</v>
      </c>
      <c r="P5" s="112"/>
      <c r="Q5" s="112"/>
      <c r="R5" s="112"/>
      <c r="S5" s="112"/>
      <c r="T5" s="111"/>
    </row>
    <row r="6" spans="1:22" x14ac:dyDescent="0.15">
      <c r="C6" s="104">
        <v>1</v>
      </c>
      <c r="D6" s="105" t="s">
        <v>418</v>
      </c>
      <c r="E6" s="105"/>
      <c r="F6" s="105"/>
      <c r="G6" s="105"/>
      <c r="H6" s="101"/>
      <c r="I6" s="100" t="s">
        <v>419</v>
      </c>
      <c r="J6" s="105"/>
      <c r="K6" s="105"/>
      <c r="L6" s="105"/>
      <c r="M6" s="105"/>
      <c r="N6" s="107">
        <v>0</v>
      </c>
      <c r="O6" s="100" t="s">
        <v>445</v>
      </c>
      <c r="P6" s="105"/>
      <c r="Q6" s="105"/>
      <c r="R6" s="105"/>
      <c r="S6" s="105"/>
      <c r="T6" s="101"/>
      <c r="V6" s="116"/>
    </row>
    <row r="7" spans="1:22" x14ac:dyDescent="0.15">
      <c r="C7" s="104">
        <v>2</v>
      </c>
      <c r="D7" s="105" t="s">
        <v>418</v>
      </c>
      <c r="E7" s="105"/>
      <c r="F7" s="105"/>
      <c r="G7" s="105"/>
      <c r="H7" s="101"/>
      <c r="I7" s="100" t="s">
        <v>419</v>
      </c>
      <c r="J7" s="105"/>
      <c r="K7" s="105"/>
      <c r="L7" s="105"/>
      <c r="M7" s="105"/>
      <c r="N7" s="107">
        <v>1</v>
      </c>
      <c r="O7" s="100" t="s">
        <v>446</v>
      </c>
      <c r="P7" s="105"/>
      <c r="Q7" s="105"/>
      <c r="R7" s="105"/>
      <c r="S7" s="105"/>
      <c r="T7" s="101"/>
      <c r="V7" s="116"/>
    </row>
    <row r="8" spans="1:22" x14ac:dyDescent="0.15">
      <c r="C8" s="104">
        <v>3</v>
      </c>
      <c r="D8" s="105" t="s">
        <v>420</v>
      </c>
      <c r="E8" s="105"/>
      <c r="F8" s="105"/>
      <c r="G8" s="105"/>
      <c r="H8" s="101"/>
      <c r="I8" s="100" t="s">
        <v>421</v>
      </c>
      <c r="J8" s="105"/>
      <c r="K8" s="105"/>
      <c r="L8" s="105"/>
      <c r="M8" s="105"/>
      <c r="N8" s="107">
        <v>2</v>
      </c>
      <c r="O8" s="100" t="s">
        <v>422</v>
      </c>
      <c r="P8" s="105"/>
      <c r="Q8" s="105"/>
      <c r="R8" s="105"/>
      <c r="S8" s="105"/>
      <c r="T8" s="101"/>
      <c r="V8" s="116"/>
    </row>
    <row r="9" spans="1:22" x14ac:dyDescent="0.15">
      <c r="C9" s="104">
        <v>4</v>
      </c>
      <c r="D9" s="105" t="s">
        <v>453</v>
      </c>
      <c r="E9" s="105"/>
      <c r="F9" s="105"/>
      <c r="G9" s="105"/>
      <c r="H9" s="101"/>
      <c r="I9" s="100" t="s">
        <v>454</v>
      </c>
      <c r="J9" s="105"/>
      <c r="K9" s="105"/>
      <c r="L9" s="105"/>
      <c r="M9" s="105"/>
      <c r="N9" s="107">
        <v>3</v>
      </c>
      <c r="O9" s="100" t="s">
        <v>455</v>
      </c>
      <c r="P9" s="105"/>
      <c r="Q9" s="105"/>
      <c r="R9" s="105"/>
      <c r="S9" s="105"/>
      <c r="T9" s="101"/>
      <c r="V9" s="116"/>
    </row>
    <row r="10" spans="1:22" x14ac:dyDescent="0.15">
      <c r="C10" s="104">
        <v>5</v>
      </c>
      <c r="D10" s="105" t="s">
        <v>442</v>
      </c>
      <c r="E10" s="105"/>
      <c r="F10" s="105"/>
      <c r="G10" s="105"/>
      <c r="H10" s="101"/>
      <c r="I10" s="100" t="s">
        <v>443</v>
      </c>
      <c r="J10" s="105"/>
      <c r="K10" s="105"/>
      <c r="L10" s="105"/>
      <c r="M10" s="105"/>
      <c r="N10" s="107">
        <v>4</v>
      </c>
      <c r="O10" s="100" t="s">
        <v>444</v>
      </c>
      <c r="P10" s="105"/>
      <c r="Q10" s="105"/>
      <c r="R10" s="105"/>
      <c r="S10" s="105"/>
      <c r="T10" s="101"/>
      <c r="V10" s="116"/>
    </row>
    <row r="11" spans="1:22" x14ac:dyDescent="0.15">
      <c r="C11" s="104">
        <v>6</v>
      </c>
      <c r="D11" s="105" t="s">
        <v>447</v>
      </c>
      <c r="E11" s="105"/>
      <c r="F11" s="105"/>
      <c r="G11" s="105"/>
      <c r="H11" s="101"/>
      <c r="I11" s="100" t="s">
        <v>448</v>
      </c>
      <c r="J11" s="105"/>
      <c r="K11" s="105"/>
      <c r="L11" s="105"/>
      <c r="M11" s="105"/>
      <c r="N11" s="107">
        <v>5</v>
      </c>
      <c r="O11" s="100" t="s">
        <v>456</v>
      </c>
      <c r="P11" s="105"/>
      <c r="Q11" s="105"/>
      <c r="R11" s="105"/>
      <c r="S11" s="105"/>
      <c r="T11" s="101"/>
      <c r="V11" s="116"/>
    </row>
    <row r="12" spans="1:22" x14ac:dyDescent="0.15">
      <c r="C12" s="104">
        <v>7</v>
      </c>
      <c r="D12" s="105" t="s">
        <v>449</v>
      </c>
      <c r="E12" s="105"/>
      <c r="F12" s="105"/>
      <c r="G12" s="105"/>
      <c r="H12" s="101"/>
      <c r="I12" s="100" t="s">
        <v>450</v>
      </c>
      <c r="J12" s="105"/>
      <c r="K12" s="105"/>
      <c r="L12" s="105"/>
      <c r="M12" s="105"/>
      <c r="N12" s="107">
        <v>6</v>
      </c>
      <c r="O12" s="100" t="s">
        <v>457</v>
      </c>
      <c r="P12" s="105"/>
      <c r="Q12" s="105"/>
      <c r="R12" s="105"/>
      <c r="S12" s="105"/>
      <c r="T12" s="101"/>
      <c r="V12" s="116"/>
    </row>
    <row r="13" spans="1:22" x14ac:dyDescent="0.15">
      <c r="C13" s="104">
        <v>8</v>
      </c>
      <c r="D13" s="105" t="s">
        <v>451</v>
      </c>
      <c r="E13" s="105"/>
      <c r="F13" s="105"/>
      <c r="G13" s="105"/>
      <c r="H13" s="101"/>
      <c r="I13" s="100" t="s">
        <v>452</v>
      </c>
      <c r="J13" s="105"/>
      <c r="K13" s="105"/>
      <c r="L13" s="105"/>
      <c r="M13" s="105"/>
      <c r="N13" s="107">
        <v>7</v>
      </c>
      <c r="O13" s="100" t="s">
        <v>458</v>
      </c>
      <c r="P13" s="105"/>
      <c r="Q13" s="105"/>
      <c r="R13" s="105"/>
      <c r="S13" s="105"/>
      <c r="T13" s="101"/>
      <c r="V13" s="116"/>
    </row>
    <row r="14" spans="1:22" x14ac:dyDescent="0.15">
      <c r="C14" s="104">
        <v>9</v>
      </c>
      <c r="D14" s="105" t="s">
        <v>459</v>
      </c>
      <c r="E14" s="105"/>
      <c r="F14" s="105"/>
      <c r="G14" s="105"/>
      <c r="H14" s="101"/>
      <c r="I14" s="100" t="s">
        <v>460</v>
      </c>
      <c r="J14" s="105"/>
      <c r="K14" s="105"/>
      <c r="L14" s="105"/>
      <c r="M14" s="105"/>
      <c r="N14" s="107">
        <v>8</v>
      </c>
      <c r="O14" s="100" t="s">
        <v>461</v>
      </c>
      <c r="P14" s="105"/>
      <c r="Q14" s="105"/>
      <c r="R14" s="105"/>
      <c r="S14" s="105"/>
      <c r="T14" s="101"/>
      <c r="V14" s="116"/>
    </row>
    <row r="15" spans="1:22" x14ac:dyDescent="0.15">
      <c r="C15" s="104">
        <v>10</v>
      </c>
      <c r="D15" s="105" t="s">
        <v>463</v>
      </c>
      <c r="E15" s="105"/>
      <c r="F15" s="105"/>
      <c r="G15" s="105"/>
      <c r="H15" s="101"/>
      <c r="I15" s="100" t="s">
        <v>464</v>
      </c>
      <c r="J15" s="105"/>
      <c r="K15" s="105"/>
      <c r="L15" s="105"/>
      <c r="M15" s="105"/>
      <c r="N15" s="107">
        <v>9</v>
      </c>
      <c r="O15" s="100" t="s">
        <v>462</v>
      </c>
      <c r="P15" s="105"/>
      <c r="Q15" s="105"/>
      <c r="R15" s="105"/>
      <c r="S15" s="105"/>
      <c r="T15" s="101"/>
      <c r="V15" s="116"/>
    </row>
    <row r="16" spans="1:22" x14ac:dyDescent="0.15">
      <c r="C16" s="104">
        <v>11</v>
      </c>
      <c r="D16" s="105" t="s">
        <v>466</v>
      </c>
      <c r="E16" s="105"/>
      <c r="F16" s="105"/>
      <c r="G16" s="105"/>
      <c r="H16" s="101"/>
      <c r="I16" s="100" t="s">
        <v>467</v>
      </c>
      <c r="J16" s="105"/>
      <c r="K16" s="105"/>
      <c r="L16" s="105"/>
      <c r="M16" s="105"/>
      <c r="N16" s="107">
        <v>10</v>
      </c>
      <c r="O16" s="100" t="s">
        <v>465</v>
      </c>
      <c r="P16" s="105"/>
      <c r="Q16" s="105"/>
      <c r="R16" s="105"/>
      <c r="S16" s="105"/>
      <c r="T16" s="101"/>
      <c r="V16" s="116"/>
    </row>
    <row r="17" spans="3:22" x14ac:dyDescent="0.15">
      <c r="C17" s="104">
        <v>12</v>
      </c>
      <c r="D17" s="105" t="s">
        <v>468</v>
      </c>
      <c r="E17" s="105"/>
      <c r="F17" s="105"/>
      <c r="G17" s="105"/>
      <c r="H17" s="101"/>
      <c r="I17" s="100" t="s">
        <v>469</v>
      </c>
      <c r="J17" s="105"/>
      <c r="K17" s="105"/>
      <c r="L17" s="105"/>
      <c r="M17" s="105"/>
      <c r="N17" s="107">
        <v>11</v>
      </c>
      <c r="O17" s="100" t="s">
        <v>470</v>
      </c>
      <c r="P17" s="105"/>
      <c r="Q17" s="105"/>
      <c r="R17" s="105"/>
      <c r="S17" s="105"/>
      <c r="T17" s="101"/>
      <c r="V17" s="116"/>
    </row>
    <row r="18" spans="3:22" x14ac:dyDescent="0.15">
      <c r="C18" s="104">
        <v>13</v>
      </c>
      <c r="D18" s="105" t="s">
        <v>471</v>
      </c>
      <c r="E18" s="105"/>
      <c r="F18" s="105"/>
      <c r="G18" s="105"/>
      <c r="H18" s="101"/>
      <c r="I18" s="100" t="s">
        <v>472</v>
      </c>
      <c r="J18" s="105"/>
      <c r="K18" s="105"/>
      <c r="L18" s="105"/>
      <c r="M18" s="105"/>
      <c r="N18" s="107">
        <v>12</v>
      </c>
      <c r="O18" s="100" t="s">
        <v>476</v>
      </c>
      <c r="P18" s="105"/>
      <c r="Q18" s="105"/>
      <c r="R18" s="105"/>
      <c r="S18" s="105"/>
      <c r="T18" s="101"/>
      <c r="V18" s="116"/>
    </row>
    <row r="19" spans="3:22" x14ac:dyDescent="0.15">
      <c r="C19" s="104">
        <v>14</v>
      </c>
      <c r="D19" s="105" t="s">
        <v>473</v>
      </c>
      <c r="E19" s="105"/>
      <c r="F19" s="105"/>
      <c r="G19" s="105"/>
      <c r="H19" s="101"/>
      <c r="I19" s="100" t="s">
        <v>474</v>
      </c>
      <c r="J19" s="105"/>
      <c r="K19" s="105"/>
      <c r="L19" s="105"/>
      <c r="M19" s="105"/>
      <c r="N19" s="107">
        <v>13</v>
      </c>
      <c r="O19" s="100" t="s">
        <v>475</v>
      </c>
      <c r="P19" s="105"/>
      <c r="Q19" s="105"/>
      <c r="R19" s="105"/>
      <c r="S19" s="105"/>
      <c r="T19" s="101"/>
      <c r="V19" s="116"/>
    </row>
    <row r="20" spans="3:22" x14ac:dyDescent="0.15">
      <c r="C20" s="104">
        <v>15</v>
      </c>
      <c r="D20" s="105" t="s">
        <v>477</v>
      </c>
      <c r="E20" s="105"/>
      <c r="F20" s="105"/>
      <c r="G20" s="105"/>
      <c r="H20" s="101"/>
      <c r="I20" s="100" t="s">
        <v>478</v>
      </c>
      <c r="J20" s="105"/>
      <c r="K20" s="105"/>
      <c r="L20" s="105"/>
      <c r="M20" s="105"/>
      <c r="N20" s="107">
        <v>14</v>
      </c>
      <c r="O20" s="100" t="s">
        <v>479</v>
      </c>
      <c r="P20" s="105"/>
      <c r="Q20" s="105"/>
      <c r="R20" s="105"/>
      <c r="S20" s="105"/>
      <c r="T20" s="101"/>
      <c r="V20" s="116"/>
    </row>
    <row r="21" spans="3:22" x14ac:dyDescent="0.15">
      <c r="C21" s="104">
        <v>16</v>
      </c>
      <c r="D21" s="105" t="s">
        <v>481</v>
      </c>
      <c r="E21" s="105"/>
      <c r="F21" s="105"/>
      <c r="G21" s="105"/>
      <c r="H21" s="101"/>
      <c r="I21" s="100" t="s">
        <v>482</v>
      </c>
      <c r="J21" s="105"/>
      <c r="K21" s="105"/>
      <c r="L21" s="105"/>
      <c r="M21" s="105"/>
      <c r="N21" s="107">
        <v>15</v>
      </c>
      <c r="O21" s="100" t="s">
        <v>480</v>
      </c>
      <c r="P21" s="105"/>
      <c r="Q21" s="105"/>
      <c r="R21" s="105"/>
      <c r="S21" s="105"/>
      <c r="T21" s="101"/>
      <c r="V21" s="116"/>
    </row>
    <row r="22" spans="3:22" x14ac:dyDescent="0.15">
      <c r="C22" s="104">
        <v>17</v>
      </c>
      <c r="D22" s="105" t="s">
        <v>483</v>
      </c>
      <c r="E22" s="105"/>
      <c r="F22" s="105"/>
      <c r="G22" s="105"/>
      <c r="H22" s="101"/>
      <c r="I22" s="100" t="s">
        <v>484</v>
      </c>
      <c r="J22" s="105"/>
      <c r="K22" s="105"/>
      <c r="L22" s="105"/>
      <c r="M22" s="105"/>
      <c r="N22" s="107">
        <v>16</v>
      </c>
      <c r="O22" s="100" t="s">
        <v>485</v>
      </c>
      <c r="P22" s="105"/>
      <c r="Q22" s="105"/>
      <c r="R22" s="105"/>
      <c r="S22" s="105"/>
      <c r="T22" s="101"/>
      <c r="V22" s="116"/>
    </row>
    <row r="23" spans="3:22" x14ac:dyDescent="0.15">
      <c r="C23" s="104">
        <v>18</v>
      </c>
      <c r="D23" s="105" t="s">
        <v>486</v>
      </c>
      <c r="E23" s="105"/>
      <c r="F23" s="105"/>
      <c r="G23" s="105"/>
      <c r="H23" s="101"/>
      <c r="I23" s="100" t="s">
        <v>487</v>
      </c>
      <c r="J23" s="105"/>
      <c r="K23" s="105"/>
      <c r="L23" s="105"/>
      <c r="M23" s="105"/>
      <c r="N23" s="107">
        <v>17</v>
      </c>
      <c r="O23" s="100" t="s">
        <v>488</v>
      </c>
      <c r="P23" s="105"/>
      <c r="Q23" s="105"/>
      <c r="R23" s="105"/>
      <c r="S23" s="105"/>
      <c r="T23" s="101"/>
      <c r="V23" s="116"/>
    </row>
    <row r="24" spans="3:22" x14ac:dyDescent="0.15">
      <c r="C24" s="104">
        <v>19</v>
      </c>
      <c r="D24" s="105" t="s">
        <v>489</v>
      </c>
      <c r="E24" s="105"/>
      <c r="F24" s="105"/>
      <c r="G24" s="105"/>
      <c r="H24" s="101"/>
      <c r="I24" s="100" t="s">
        <v>490</v>
      </c>
      <c r="J24" s="105"/>
      <c r="K24" s="105"/>
      <c r="L24" s="105"/>
      <c r="M24" s="105"/>
      <c r="N24" s="107">
        <v>18</v>
      </c>
      <c r="O24" s="100" t="s">
        <v>491</v>
      </c>
      <c r="P24" s="105"/>
      <c r="Q24" s="105"/>
      <c r="R24" s="105"/>
      <c r="S24" s="105"/>
      <c r="T24" s="101"/>
      <c r="V24" s="116"/>
    </row>
    <row r="25" spans="3:22" x14ac:dyDescent="0.15">
      <c r="C25" s="104">
        <v>20</v>
      </c>
      <c r="D25" s="105" t="s">
        <v>492</v>
      </c>
      <c r="E25" s="105"/>
      <c r="F25" s="105"/>
      <c r="G25" s="105"/>
      <c r="H25" s="101"/>
      <c r="I25" s="100" t="s">
        <v>493</v>
      </c>
      <c r="J25" s="105"/>
      <c r="K25" s="105"/>
      <c r="L25" s="105"/>
      <c r="M25" s="105"/>
      <c r="N25" s="107">
        <v>19</v>
      </c>
      <c r="O25" s="100" t="s">
        <v>494</v>
      </c>
      <c r="P25" s="105"/>
      <c r="Q25" s="105"/>
      <c r="R25" s="105"/>
      <c r="S25" s="105"/>
      <c r="T25" s="101"/>
      <c r="V25" s="116"/>
    </row>
    <row r="26" spans="3:22" x14ac:dyDescent="0.15">
      <c r="C26" s="104">
        <v>21</v>
      </c>
      <c r="D26" s="105" t="s">
        <v>495</v>
      </c>
      <c r="E26" s="105"/>
      <c r="F26" s="105"/>
      <c r="G26" s="105"/>
      <c r="H26" s="101"/>
      <c r="I26" s="100" t="s">
        <v>496</v>
      </c>
      <c r="J26" s="105"/>
      <c r="K26" s="105"/>
      <c r="L26" s="105"/>
      <c r="M26" s="105"/>
      <c r="N26" s="107">
        <v>20</v>
      </c>
      <c r="O26" s="100" t="s">
        <v>497</v>
      </c>
      <c r="P26" s="105"/>
      <c r="Q26" s="105"/>
      <c r="R26" s="105"/>
      <c r="S26" s="105"/>
      <c r="T26" s="101"/>
      <c r="V26" s="116"/>
    </row>
    <row r="27" spans="3:22" x14ac:dyDescent="0.15">
      <c r="C27" s="104">
        <v>22</v>
      </c>
      <c r="D27" s="105" t="s">
        <v>498</v>
      </c>
      <c r="E27" s="105"/>
      <c r="F27" s="105"/>
      <c r="G27" s="105"/>
      <c r="H27" s="101"/>
      <c r="I27" s="100" t="s">
        <v>499</v>
      </c>
      <c r="J27" s="105"/>
      <c r="K27" s="105"/>
      <c r="L27" s="105"/>
      <c r="M27" s="105"/>
      <c r="N27" s="107">
        <v>21</v>
      </c>
      <c r="O27" s="100" t="s">
        <v>500</v>
      </c>
      <c r="P27" s="105"/>
      <c r="Q27" s="105"/>
      <c r="R27" s="105"/>
      <c r="S27" s="105"/>
      <c r="T27" s="101"/>
      <c r="V27" s="116"/>
    </row>
    <row r="28" spans="3:22" x14ac:dyDescent="0.15">
      <c r="C28" s="104">
        <v>23</v>
      </c>
      <c r="D28" s="105" t="s">
        <v>501</v>
      </c>
      <c r="E28" s="105"/>
      <c r="F28" s="105"/>
      <c r="G28" s="105"/>
      <c r="H28" s="101"/>
      <c r="I28" s="100" t="s">
        <v>502</v>
      </c>
      <c r="J28" s="105"/>
      <c r="K28" s="105"/>
      <c r="L28" s="105"/>
      <c r="M28" s="105"/>
      <c r="N28" s="107">
        <v>22</v>
      </c>
      <c r="O28" s="100" t="s">
        <v>503</v>
      </c>
      <c r="P28" s="105"/>
      <c r="Q28" s="105"/>
      <c r="R28" s="105"/>
      <c r="S28" s="105"/>
      <c r="T28" s="101"/>
      <c r="V28" s="116"/>
    </row>
    <row r="29" spans="3:22" x14ac:dyDescent="0.15">
      <c r="C29" s="104">
        <v>24</v>
      </c>
      <c r="D29" s="105" t="s">
        <v>504</v>
      </c>
      <c r="E29" s="105"/>
      <c r="F29" s="105"/>
      <c r="G29" s="105"/>
      <c r="H29" s="101"/>
      <c r="I29" s="100" t="s">
        <v>505</v>
      </c>
      <c r="J29" s="105"/>
      <c r="K29" s="105"/>
      <c r="L29" s="105"/>
      <c r="M29" s="105"/>
      <c r="N29" s="107">
        <v>23</v>
      </c>
      <c r="O29" s="100" t="s">
        <v>506</v>
      </c>
      <c r="P29" s="105"/>
      <c r="Q29" s="105"/>
      <c r="R29" s="105"/>
      <c r="S29" s="105"/>
      <c r="T29" s="101"/>
      <c r="V29" s="116"/>
    </row>
    <row r="30" spans="3:22" x14ac:dyDescent="0.15">
      <c r="C30" s="104">
        <v>25</v>
      </c>
      <c r="D30" s="105" t="s">
        <v>507</v>
      </c>
      <c r="E30" s="105"/>
      <c r="F30" s="105"/>
      <c r="G30" s="105"/>
      <c r="H30" s="101"/>
      <c r="I30" s="100" t="s">
        <v>508</v>
      </c>
      <c r="J30" s="105"/>
      <c r="K30" s="105"/>
      <c r="L30" s="105"/>
      <c r="M30" s="105"/>
      <c r="N30" s="107">
        <v>24</v>
      </c>
      <c r="O30" s="100" t="s">
        <v>509</v>
      </c>
      <c r="P30" s="105"/>
      <c r="Q30" s="105"/>
      <c r="R30" s="105"/>
      <c r="S30" s="105"/>
      <c r="T30" s="101"/>
      <c r="V30" s="116"/>
    </row>
    <row r="31" spans="3:22" x14ac:dyDescent="0.15">
      <c r="C31" s="104">
        <v>26</v>
      </c>
      <c r="D31" s="105" t="s">
        <v>510</v>
      </c>
      <c r="E31" s="105"/>
      <c r="F31" s="105"/>
      <c r="G31" s="105"/>
      <c r="H31" s="101"/>
      <c r="I31" s="100" t="s">
        <v>511</v>
      </c>
      <c r="J31" s="105"/>
      <c r="K31" s="105"/>
      <c r="L31" s="105"/>
      <c r="M31" s="105"/>
      <c r="N31" s="107">
        <v>25</v>
      </c>
      <c r="O31" s="100" t="s">
        <v>512</v>
      </c>
      <c r="P31" s="105"/>
      <c r="Q31" s="105"/>
      <c r="R31" s="105"/>
      <c r="S31" s="105"/>
      <c r="T31" s="101"/>
      <c r="V31" s="116"/>
    </row>
    <row r="32" spans="3:22" x14ac:dyDescent="0.15">
      <c r="C32" s="104">
        <v>27</v>
      </c>
      <c r="D32" s="105" t="s">
        <v>516</v>
      </c>
      <c r="E32" s="105"/>
      <c r="F32" s="105"/>
      <c r="G32" s="105"/>
      <c r="H32" s="101"/>
      <c r="I32" s="100" t="s">
        <v>513</v>
      </c>
      <c r="J32" s="105"/>
      <c r="K32" s="105"/>
      <c r="L32" s="105"/>
      <c r="M32" s="105"/>
      <c r="N32" s="107">
        <v>26</v>
      </c>
      <c r="O32" s="100" t="s">
        <v>514</v>
      </c>
      <c r="P32" s="105"/>
      <c r="Q32" s="105"/>
      <c r="R32" s="105"/>
      <c r="S32" s="105"/>
      <c r="T32" s="101"/>
      <c r="V32" s="116"/>
    </row>
    <row r="33" spans="3:22" x14ac:dyDescent="0.15">
      <c r="C33" s="104">
        <v>28</v>
      </c>
      <c r="D33" s="105" t="s">
        <v>515</v>
      </c>
      <c r="E33" s="105"/>
      <c r="F33" s="105"/>
      <c r="G33" s="105"/>
      <c r="H33" s="101"/>
      <c r="I33" s="100" t="s">
        <v>517</v>
      </c>
      <c r="J33" s="105"/>
      <c r="K33" s="105"/>
      <c r="L33" s="105"/>
      <c r="M33" s="105"/>
      <c r="N33" s="107">
        <v>27</v>
      </c>
      <c r="O33" s="100" t="s">
        <v>518</v>
      </c>
      <c r="P33" s="105"/>
      <c r="Q33" s="105"/>
      <c r="R33" s="105"/>
      <c r="S33" s="105"/>
      <c r="T33" s="101"/>
      <c r="V33" s="116"/>
    </row>
    <row r="34" spans="3:22" x14ac:dyDescent="0.15">
      <c r="C34" s="104">
        <v>29</v>
      </c>
      <c r="D34" s="105" t="s">
        <v>519</v>
      </c>
      <c r="E34" s="105"/>
      <c r="F34" s="105"/>
      <c r="G34" s="105"/>
      <c r="H34" s="101"/>
      <c r="I34" s="100" t="s">
        <v>520</v>
      </c>
      <c r="J34" s="105"/>
      <c r="K34" s="105"/>
      <c r="L34" s="105"/>
      <c r="M34" s="105"/>
      <c r="N34" s="107">
        <v>28</v>
      </c>
      <c r="O34" s="100" t="s">
        <v>521</v>
      </c>
      <c r="P34" s="105"/>
      <c r="Q34" s="105"/>
      <c r="R34" s="105"/>
      <c r="S34" s="105"/>
      <c r="T34" s="101"/>
      <c r="V34" s="116"/>
    </row>
    <row r="35" spans="3:22" x14ac:dyDescent="0.15">
      <c r="C35" s="104">
        <v>30</v>
      </c>
      <c r="D35" s="105" t="s">
        <v>522</v>
      </c>
      <c r="E35" s="105"/>
      <c r="F35" s="105"/>
      <c r="G35" s="105"/>
      <c r="H35" s="101"/>
      <c r="I35" s="100" t="s">
        <v>523</v>
      </c>
      <c r="J35" s="105"/>
      <c r="K35" s="105"/>
      <c r="L35" s="105"/>
      <c r="M35" s="105"/>
      <c r="N35" s="107">
        <v>29</v>
      </c>
      <c r="O35" s="100" t="s">
        <v>524</v>
      </c>
      <c r="P35" s="105"/>
      <c r="Q35" s="105"/>
      <c r="R35" s="105"/>
      <c r="S35" s="105"/>
      <c r="T35" s="101"/>
      <c r="V35" s="116"/>
    </row>
    <row r="36" spans="3:22" x14ac:dyDescent="0.15">
      <c r="C36" s="104">
        <v>31</v>
      </c>
      <c r="D36" s="105" t="s">
        <v>525</v>
      </c>
      <c r="E36" s="105"/>
      <c r="F36" s="105"/>
      <c r="G36" s="105"/>
      <c r="H36" s="101"/>
      <c r="I36" s="100" t="s">
        <v>526</v>
      </c>
      <c r="J36" s="105"/>
      <c r="K36" s="105"/>
      <c r="L36" s="105"/>
      <c r="M36" s="105"/>
      <c r="N36" s="107">
        <v>30</v>
      </c>
      <c r="O36" s="100" t="s">
        <v>527</v>
      </c>
      <c r="P36" s="105"/>
      <c r="Q36" s="105"/>
      <c r="R36" s="105"/>
      <c r="S36" s="105"/>
      <c r="T36" s="101"/>
      <c r="V36" s="116"/>
    </row>
    <row r="37" spans="3:22" x14ac:dyDescent="0.15">
      <c r="C37" s="104">
        <v>32</v>
      </c>
      <c r="D37" s="105" t="s">
        <v>528</v>
      </c>
      <c r="E37" s="105"/>
      <c r="F37" s="105"/>
      <c r="G37" s="105"/>
      <c r="H37" s="101"/>
      <c r="I37" s="100" t="s">
        <v>529</v>
      </c>
      <c r="J37" s="105"/>
      <c r="K37" s="105"/>
      <c r="L37" s="105"/>
      <c r="M37" s="105"/>
      <c r="N37" s="107">
        <v>31</v>
      </c>
      <c r="O37" s="100" t="s">
        <v>530</v>
      </c>
      <c r="P37" s="105"/>
      <c r="Q37" s="105"/>
      <c r="R37" s="105"/>
      <c r="S37" s="105"/>
      <c r="T37" s="101"/>
      <c r="V37" s="116"/>
    </row>
    <row r="38" spans="3:22" x14ac:dyDescent="0.15">
      <c r="C38" s="104">
        <v>33</v>
      </c>
      <c r="D38" s="105" t="s">
        <v>531</v>
      </c>
      <c r="E38" s="105"/>
      <c r="F38" s="105"/>
      <c r="G38" s="105"/>
      <c r="H38" s="101"/>
      <c r="I38" s="100" t="s">
        <v>532</v>
      </c>
      <c r="J38" s="105"/>
      <c r="K38" s="105"/>
      <c r="L38" s="105"/>
      <c r="M38" s="105"/>
      <c r="N38" s="107">
        <v>32</v>
      </c>
      <c r="O38" s="100" t="s">
        <v>533</v>
      </c>
      <c r="P38" s="105"/>
      <c r="Q38" s="105"/>
      <c r="R38" s="105"/>
      <c r="S38" s="105"/>
      <c r="T38" s="101"/>
      <c r="V38" s="116"/>
    </row>
    <row r="39" spans="3:22" x14ac:dyDescent="0.15">
      <c r="C39" s="104">
        <v>34</v>
      </c>
      <c r="D39" s="105" t="s">
        <v>534</v>
      </c>
      <c r="E39" s="105"/>
      <c r="F39" s="105"/>
      <c r="G39" s="105"/>
      <c r="H39" s="101"/>
      <c r="I39" s="100" t="s">
        <v>535</v>
      </c>
      <c r="J39" s="105"/>
      <c r="K39" s="105"/>
      <c r="L39" s="105"/>
      <c r="M39" s="105"/>
      <c r="N39" s="107">
        <v>33</v>
      </c>
      <c r="O39" s="100" t="s">
        <v>536</v>
      </c>
      <c r="P39" s="105"/>
      <c r="Q39" s="105"/>
      <c r="R39" s="105"/>
      <c r="S39" s="105"/>
      <c r="T39" s="101"/>
      <c r="V39" s="116"/>
    </row>
    <row r="40" spans="3:22" x14ac:dyDescent="0.15">
      <c r="C40" s="104">
        <v>35</v>
      </c>
      <c r="D40" s="105" t="s">
        <v>537</v>
      </c>
      <c r="E40" s="105"/>
      <c r="F40" s="105"/>
      <c r="G40" s="105"/>
      <c r="H40" s="101"/>
      <c r="I40" s="100" t="s">
        <v>538</v>
      </c>
      <c r="J40" s="105"/>
      <c r="K40" s="105"/>
      <c r="L40" s="105"/>
      <c r="M40" s="105"/>
      <c r="N40" s="107">
        <v>34</v>
      </c>
      <c r="O40" s="100" t="s">
        <v>539</v>
      </c>
      <c r="P40" s="105"/>
      <c r="Q40" s="105"/>
      <c r="R40" s="105"/>
      <c r="S40" s="105"/>
      <c r="T40" s="101"/>
      <c r="V40" s="116"/>
    </row>
    <row r="41" spans="3:22" x14ac:dyDescent="0.15">
      <c r="C41" s="104">
        <v>36</v>
      </c>
      <c r="D41" s="105" t="s">
        <v>540</v>
      </c>
      <c r="E41" s="105"/>
      <c r="F41" s="105"/>
      <c r="G41" s="105"/>
      <c r="H41" s="101"/>
      <c r="I41" s="100" t="s">
        <v>541</v>
      </c>
      <c r="J41" s="105"/>
      <c r="K41" s="105"/>
      <c r="L41" s="105"/>
      <c r="M41" s="105"/>
      <c r="N41" s="107">
        <v>35</v>
      </c>
      <c r="O41" s="100" t="s">
        <v>542</v>
      </c>
      <c r="P41" s="105"/>
      <c r="Q41" s="105"/>
      <c r="R41" s="105"/>
      <c r="S41" s="105"/>
      <c r="T41" s="101"/>
      <c r="V41" s="116"/>
    </row>
    <row r="43" spans="3:22" x14ac:dyDescent="0.15">
      <c r="C43" t="s">
        <v>367</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表紙</vt:lpstr>
      <vt:lpstr>変更履歴</vt:lpstr>
      <vt:lpstr>集計</vt:lpstr>
      <vt:lpstr>1.結合試験</vt:lpstr>
      <vt:lpstr>【別紙1】1ボクセルに収まる線分マトリクス</vt:lpstr>
      <vt:lpstr>【別紙2】線分マトリクスパターン</vt:lpstr>
      <vt:lpstr>【別紙3】XYZ方向に長い線分の確認</vt:lpstr>
      <vt:lpstr>【別紙4】精度入力パターン</vt:lpstr>
      <vt:lpstr>'1.結合試験'!Print_Area</vt:lpstr>
      <vt:lpstr>表紙!Print_Area</vt:lpstr>
      <vt:lpstr>'1.結合試験'!Print_Titles</vt:lpstr>
    </vt:vector>
  </TitlesOfParts>
  <Company>NTTアドバンステクノロジ株式会社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平子 卓弥</dc:creator>
  <cp:lastModifiedBy>藤間 英輔</cp:lastModifiedBy>
  <cp:lastPrinted>2018-07-18T02:26:07Z</cp:lastPrinted>
  <dcterms:created xsi:type="dcterms:W3CDTF">2007-06-29T08:55:04Z</dcterms:created>
  <dcterms:modified xsi:type="dcterms:W3CDTF">2023-01-13T02:11:39Z</dcterms:modified>
</cp:coreProperties>
</file>