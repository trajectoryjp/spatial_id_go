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fs\3事本-技術\project\NTTATS_空間ID\10：ドローン空間情報管理システム開発\60：IT\02：結合試験項目書\"/>
    </mc:Choice>
  </mc:AlternateContent>
  <xr:revisionPtr revIDLastSave="0" documentId="13_ncr:1_{2051BA94-A43F-4232-9005-3BCB8396B86F}" xr6:coauthVersionLast="47" xr6:coauthVersionMax="47" xr10:uidLastSave="{00000000-0000-0000-0000-000000000000}"/>
  <bookViews>
    <workbookView xWindow="-120" yWindow="-120" windowWidth="29040" windowHeight="17640" tabRatio="872" activeTab="3" xr2:uid="{00000000-000D-0000-FFFF-FFFF00000000}"/>
  </bookViews>
  <sheets>
    <sheet name="表紙" sheetId="15" r:id="rId1"/>
    <sheet name="変更履歴" sheetId="37" r:id="rId2"/>
    <sheet name="集計" sheetId="35" r:id="rId3"/>
    <sheet name="1.結合試験" sheetId="27" r:id="rId4"/>
    <sheet name="【別紙1】最適化条件の精度パターン" sheetId="40" r:id="rId5"/>
    <sheet name="【別紙2】最適化後のボクセル内パターン" sheetId="44" r:id="rId6"/>
    <sheet name="【別紙3】最適化後のボクセルが重複パターン" sheetId="46" r:id="rId7"/>
    <sheet name="【別紙4】最適化前の精度パターン" sheetId="47" r:id="rId8"/>
    <sheet name="【別紙5】最適化後の精度パターン" sheetId="48" r:id="rId9"/>
  </sheets>
  <definedNames>
    <definedName name="_xlnm._FilterDatabase" localSheetId="3" hidden="1">'1.結合試験'!$A$2:$M$107</definedName>
    <definedName name="_xlnm._FilterDatabase" localSheetId="1" hidden="1">#REF!</definedName>
    <definedName name="_xlnm._FilterDatabase" hidden="1">#REF!</definedName>
    <definedName name="HTML_CodePage" hidden="1">1</definedName>
    <definedName name="HTML_Control" localSheetId="4" hidden="1">{"'発注データ送信 確認事項'!$A$1:$D$28"}</definedName>
    <definedName name="HTML_Control" localSheetId="5" hidden="1">{"'発注データ送信 確認事項'!$A$1:$D$28"}</definedName>
    <definedName name="HTML_Control" localSheetId="6" hidden="1">{"'発注データ送信 確認事項'!$A$1:$D$28"}</definedName>
    <definedName name="HTML_Control" localSheetId="7" hidden="1">{"'発注データ送信 確認事項'!$A$1:$D$28"}</definedName>
    <definedName name="HTML_Control" localSheetId="8" hidden="1">{"'発注データ送信 確認事項'!$A$1:$D$28"}</definedName>
    <definedName name="HTML_Control" localSheetId="1" hidden="1">{"'発注データ送信 確認事項'!$A$1:$D$28"}</definedName>
    <definedName name="HTML_Control" hidden="1">{"'発注データ送信 確認事項'!$A$1:$D$28"}</definedName>
    <definedName name="HTML_Description" hidden="1">""</definedName>
    <definedName name="HTML_Email" hidden="1">""</definedName>
    <definedName name="HTML_Header" hidden="1">"全銀確認事項"</definedName>
    <definedName name="HTML_LastUpdate" hidden="1">"00/03/23"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"C:\MyDocuments\acms.html"</definedName>
    <definedName name="HTML_Title" hidden="1">"全銀確認事項"</definedName>
    <definedName name="Level2ManDays" localSheetId="4">【別紙1】最適化条件の精度パターン!Level2ManDays</definedName>
    <definedName name="Level2ManDays" localSheetId="5">【別紙2】最適化後のボクセル内パターン!Level2ManDays</definedName>
    <definedName name="Level2ManDays" localSheetId="6">【別紙3】最適化後のボクセルが重複パターン!Level2ManDays</definedName>
    <definedName name="Level2ManDays" localSheetId="7">【別紙4】最適化前の精度パターン!Level2ManDays</definedName>
    <definedName name="Level2ManDays" localSheetId="8">【別紙5】最適化後の精度パターン!Level2ManDays</definedName>
    <definedName name="Level2ManDays" localSheetId="1">変更履歴!Level2ManDays</definedName>
    <definedName name="Level2ManDays">[0]!Level2ManDays</definedName>
    <definedName name="_xlnm.Print_Area" localSheetId="3">'1.結合試験'!$A$1:$M$108</definedName>
    <definedName name="_xlnm.Print_Area" localSheetId="0">表紙!$A$1:$Z$37</definedName>
    <definedName name="_xlnm.Print_Titles" localSheetId="3">'1.結合試験'!$1:$2</definedName>
    <definedName name="q" localSheetId="4" hidden="1">{"'発注データ送信 確認事項'!$A$1:$D$28"}</definedName>
    <definedName name="q" localSheetId="5" hidden="1">{"'発注データ送信 確認事項'!$A$1:$D$28"}</definedName>
    <definedName name="q" localSheetId="6" hidden="1">{"'発注データ送信 確認事項'!$A$1:$D$28"}</definedName>
    <definedName name="q" localSheetId="7" hidden="1">{"'発注データ送信 確認事項'!$A$1:$D$28"}</definedName>
    <definedName name="q" localSheetId="8" hidden="1">{"'発注データ送信 確認事項'!$A$1:$D$28"}</definedName>
    <definedName name="q" localSheetId="1" hidden="1">{"'発注データ送信 確認事項'!$A$1:$D$28"}</definedName>
    <definedName name="q" hidden="1">{"'発注データ送信 確認事項'!$A$1:$D$28"}</definedName>
    <definedName name="Z_D7445B85_74CE_4E1E_92EA_69A1A19161E0_.wvu.PrintArea" localSheetId="0" hidden="1">表紙!$A$1:$Z$29</definedName>
    <definedName name="Z_D81FE437_5A70_4B95_9988_CCF676E08ADD_.wvu.PrintArea" localSheetId="0" hidden="1">表紙!$A$1:$Z$29</definedName>
    <definedName name="Z_FDE9EE51_6A00_4F0D_8742_D96597166ACA_.wvu.PrintArea" localSheetId="0" hidden="1">表紙!$A$1:$Z$29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7" i="27" l="1"/>
  <c r="A106" i="27"/>
  <c r="A105" i="27"/>
  <c r="A104" i="27"/>
  <c r="A103" i="27"/>
  <c r="A102" i="27"/>
  <c r="A101" i="27"/>
  <c r="A100" i="27"/>
  <c r="A99" i="27"/>
  <c r="A98" i="27"/>
  <c r="B7" i="15"/>
  <c r="F113" i="27" l="1"/>
  <c r="F112" i="27"/>
  <c r="F111" i="27"/>
  <c r="B20" i="15" l="1"/>
  <c r="A1" i="27" l="1"/>
  <c r="S1" i="27"/>
  <c r="T3" i="27"/>
  <c r="T4" i="27" s="1"/>
  <c r="T5" i="27" s="1"/>
  <c r="T6" i="27" s="1"/>
  <c r="T7" i="27" s="1"/>
  <c r="T8" i="27" s="1"/>
  <c r="T9" i="27" s="1"/>
  <c r="T10" i="27" s="1"/>
  <c r="T11" i="27" s="1"/>
  <c r="T12" i="27" s="1"/>
  <c r="T13" i="27" s="1"/>
  <c r="T14" i="27" s="1"/>
  <c r="T15" i="27" s="1"/>
  <c r="T16" i="27" s="1"/>
  <c r="T17" i="27" s="1"/>
  <c r="T18" i="27" s="1"/>
  <c r="T19" i="27" s="1"/>
  <c r="T20" i="27" s="1"/>
  <c r="T21" i="27" s="1"/>
  <c r="T22" i="27" s="1"/>
  <c r="T23" i="27" s="1"/>
  <c r="T24" i="27" s="1"/>
  <c r="T25" i="27" s="1"/>
  <c r="T26" i="27" s="1"/>
  <c r="T27" i="27" s="1"/>
  <c r="T28" i="27" s="1"/>
  <c r="T29" i="27" s="1"/>
  <c r="T30" i="27" s="1"/>
  <c r="T31" i="27" s="1"/>
  <c r="T32" i="27" s="1"/>
  <c r="T33" i="27" s="1"/>
  <c r="T34" i="27" s="1"/>
  <c r="T35" i="27" s="1"/>
  <c r="T36" i="27" s="1"/>
  <c r="T37" i="27" s="1"/>
  <c r="T38" i="27" s="1"/>
  <c r="T39" i="27" s="1"/>
  <c r="T40" i="27" s="1"/>
  <c r="T41" i="27" s="1"/>
  <c r="T42" i="27" s="1"/>
  <c r="T43" i="27" s="1"/>
  <c r="T44" i="27" s="1"/>
  <c r="S3" i="27"/>
  <c r="S4" i="27" s="1"/>
  <c r="S5" i="27" s="1"/>
  <c r="S6" i="27" s="1"/>
  <c r="S7" i="27" s="1"/>
  <c r="S8" i="27" s="1"/>
  <c r="S9" i="27" s="1"/>
  <c r="S10" i="27" s="1"/>
  <c r="S11" i="27" s="1"/>
  <c r="S12" i="27" s="1"/>
  <c r="S13" i="27" s="1"/>
  <c r="S14" i="27" s="1"/>
  <c r="S15" i="27" s="1"/>
  <c r="S16" i="27" s="1"/>
  <c r="S17" i="27" s="1"/>
  <c r="S18" i="27" s="1"/>
  <c r="S19" i="27" s="1"/>
  <c r="S20" i="27" s="1"/>
  <c r="S21" i="27" s="1"/>
  <c r="S22" i="27" s="1"/>
  <c r="S23" i="27" s="1"/>
  <c r="S24" i="27" s="1"/>
  <c r="S25" i="27" s="1"/>
  <c r="S26" i="27" s="1"/>
  <c r="S27" i="27" s="1"/>
  <c r="S28" i="27" s="1"/>
  <c r="S29" i="27" s="1"/>
  <c r="S30" i="27" s="1"/>
  <c r="S31" i="27" s="1"/>
  <c r="S32" i="27" s="1"/>
  <c r="S33" i="27" s="1"/>
  <c r="S34" i="27" s="1"/>
  <c r="S35" i="27" s="1"/>
  <c r="S36" i="27" s="1"/>
  <c r="S37" i="27" s="1"/>
  <c r="S38" i="27" s="1"/>
  <c r="S39" i="27" s="1"/>
  <c r="S40" i="27" s="1"/>
  <c r="S41" i="27" s="1"/>
  <c r="S42" i="27" s="1"/>
  <c r="S43" i="27" s="1"/>
  <c r="S44" i="27" s="1"/>
  <c r="R3" i="27"/>
  <c r="R4" i="27" s="1"/>
  <c r="R5" i="27" s="1"/>
  <c r="R6" i="27" s="1"/>
  <c r="R7" i="27" s="1"/>
  <c r="R8" i="27" s="1"/>
  <c r="R9" i="27" s="1"/>
  <c r="R10" i="27" s="1"/>
  <c r="R11" i="27" s="1"/>
  <c r="R12" i="27" s="1"/>
  <c r="R13" i="27" s="1"/>
  <c r="R14" i="27" s="1"/>
  <c r="R15" i="27" s="1"/>
  <c r="R16" i="27" s="1"/>
  <c r="R17" i="27" s="1"/>
  <c r="R18" i="27" s="1"/>
  <c r="R19" i="27" s="1"/>
  <c r="R20" i="27" s="1"/>
  <c r="R21" i="27" s="1"/>
  <c r="R22" i="27" s="1"/>
  <c r="R23" i="27" s="1"/>
  <c r="R24" i="27" s="1"/>
  <c r="R25" i="27" s="1"/>
  <c r="R26" i="27" s="1"/>
  <c r="R27" i="27" s="1"/>
  <c r="R28" i="27" s="1"/>
  <c r="R29" i="27" s="1"/>
  <c r="R30" i="27" s="1"/>
  <c r="R31" i="27" s="1"/>
  <c r="R32" i="27" s="1"/>
  <c r="R33" i="27" s="1"/>
  <c r="R34" i="27" s="1"/>
  <c r="R35" i="27" s="1"/>
  <c r="R36" i="27" s="1"/>
  <c r="R37" i="27" s="1"/>
  <c r="R38" i="27" s="1"/>
  <c r="R39" i="27" s="1"/>
  <c r="R40" i="27" s="1"/>
  <c r="R41" i="27" s="1"/>
  <c r="R42" i="27" s="1"/>
  <c r="R43" i="27" s="1"/>
  <c r="R44" i="27" s="1"/>
  <c r="S45" i="27" l="1"/>
  <c r="S46" i="27" s="1"/>
  <c r="S47" i="27" s="1"/>
  <c r="S48" i="27" s="1"/>
  <c r="S49" i="27" s="1"/>
  <c r="S50" i="27" s="1"/>
  <c r="S51" i="27" s="1"/>
  <c r="S52" i="27" s="1"/>
  <c r="S53" i="27" s="1"/>
  <c r="S54" i="27" s="1"/>
  <c r="S55" i="27" s="1"/>
  <c r="S56" i="27" s="1"/>
  <c r="S57" i="27" s="1"/>
  <c r="S58" i="27" s="1"/>
  <c r="S59" i="27" s="1"/>
  <c r="S60" i="27" s="1"/>
  <c r="S61" i="27" s="1"/>
  <c r="S62" i="27" s="1"/>
  <c r="S63" i="27" s="1"/>
  <c r="S64" i="27" s="1"/>
  <c r="S65" i="27" s="1"/>
  <c r="S66" i="27" s="1"/>
  <c r="S67" i="27" s="1"/>
  <c r="S68" i="27" s="1"/>
  <c r="S69" i="27" s="1"/>
  <c r="S70" i="27" s="1"/>
  <c r="S71" i="27" s="1"/>
  <c r="S72" i="27" s="1"/>
  <c r="S73" i="27" s="1"/>
  <c r="S74" i="27" s="1"/>
  <c r="S75" i="27" s="1"/>
  <c r="S76" i="27" s="1"/>
  <c r="S77" i="27" s="1"/>
  <c r="S78" i="27" s="1"/>
  <c r="S79" i="27" s="1"/>
  <c r="S80" i="27" s="1"/>
  <c r="S81" i="27" s="1"/>
  <c r="S82" i="27" s="1"/>
  <c r="S83" i="27" s="1"/>
  <c r="S84" i="27" s="1"/>
  <c r="S85" i="27" s="1"/>
  <c r="S86" i="27" s="1"/>
  <c r="S87" i="27" s="1"/>
  <c r="S88" i="27" s="1"/>
  <c r="S89" i="27" s="1"/>
  <c r="S90" i="27" s="1"/>
  <c r="S91" i="27" s="1"/>
  <c r="S92" i="27" s="1"/>
  <c r="S93" i="27" s="1"/>
  <c r="S94" i="27" s="1"/>
  <c r="S95" i="27" s="1"/>
  <c r="S96" i="27" s="1"/>
  <c r="S97" i="27" s="1"/>
  <c r="S98" i="27" s="1"/>
  <c r="S99" i="27" s="1"/>
  <c r="S100" i="27" s="1"/>
  <c r="S101" i="27" s="1"/>
  <c r="S102" i="27" s="1"/>
  <c r="S103" i="27" s="1"/>
  <c r="S104" i="27" s="1"/>
  <c r="S105" i="27" s="1"/>
  <c r="S106" i="27" s="1"/>
  <c r="S107" i="27" s="1"/>
  <c r="T45" i="27"/>
  <c r="R45" i="27"/>
  <c r="R46" i="27" s="1"/>
  <c r="A4" i="27"/>
  <c r="A42" i="27"/>
  <c r="A38" i="27"/>
  <c r="A34" i="27"/>
  <c r="A30" i="27"/>
  <c r="A26" i="27"/>
  <c r="A22" i="27"/>
  <c r="A18" i="27"/>
  <c r="A14" i="27"/>
  <c r="A10" i="27"/>
  <c r="A6" i="27"/>
  <c r="A39" i="27"/>
  <c r="A27" i="27"/>
  <c r="A11" i="27"/>
  <c r="A41" i="27"/>
  <c r="A37" i="27"/>
  <c r="A33" i="27"/>
  <c r="A29" i="27"/>
  <c r="A25" i="27"/>
  <c r="A21" i="27"/>
  <c r="A17" i="27"/>
  <c r="M26" i="27" s="1"/>
  <c r="A13" i="27"/>
  <c r="A9" i="27"/>
  <c r="A5" i="27"/>
  <c r="A35" i="27"/>
  <c r="A23" i="27"/>
  <c r="A15" i="27"/>
  <c r="A44" i="27"/>
  <c r="A40" i="27"/>
  <c r="A36" i="27"/>
  <c r="A32" i="27"/>
  <c r="A28" i="27"/>
  <c r="A24" i="27"/>
  <c r="A20" i="27"/>
  <c r="A16" i="27"/>
  <c r="A12" i="27"/>
  <c r="A8" i="27"/>
  <c r="A43" i="27"/>
  <c r="A31" i="27"/>
  <c r="A19" i="27"/>
  <c r="A7" i="27"/>
  <c r="A3" i="27"/>
  <c r="A45" i="27" l="1"/>
  <c r="T46" i="27"/>
  <c r="T47" i="27" s="1"/>
  <c r="T48" i="27" s="1"/>
  <c r="T49" i="27" s="1"/>
  <c r="T50" i="27" s="1"/>
  <c r="T51" i="27" s="1"/>
  <c r="T52" i="27" s="1"/>
  <c r="T53" i="27" s="1"/>
  <c r="T54" i="27" s="1"/>
  <c r="T55" i="27" s="1"/>
  <c r="T56" i="27" s="1"/>
  <c r="T57" i="27" s="1"/>
  <c r="T58" i="27" s="1"/>
  <c r="T59" i="27" s="1"/>
  <c r="T60" i="27" s="1"/>
  <c r="T61" i="27" s="1"/>
  <c r="T62" i="27" s="1"/>
  <c r="T63" i="27" s="1"/>
  <c r="T64" i="27" s="1"/>
  <c r="T65" i="27" s="1"/>
  <c r="T66" i="27" s="1"/>
  <c r="T67" i="27" s="1"/>
  <c r="T68" i="27" s="1"/>
  <c r="T69" i="27" s="1"/>
  <c r="T70" i="27" s="1"/>
  <c r="T71" i="27" s="1"/>
  <c r="T72" i="27" s="1"/>
  <c r="T73" i="27" s="1"/>
  <c r="T74" i="27" s="1"/>
  <c r="T75" i="27" s="1"/>
  <c r="T76" i="27" s="1"/>
  <c r="T77" i="27" s="1"/>
  <c r="T78" i="27" s="1"/>
  <c r="T79" i="27" s="1"/>
  <c r="T80" i="27" s="1"/>
  <c r="T81" i="27" s="1"/>
  <c r="T82" i="27" s="1"/>
  <c r="T83" i="27" s="1"/>
  <c r="T84" i="27" s="1"/>
  <c r="T85" i="27" s="1"/>
  <c r="T86" i="27" s="1"/>
  <c r="T87" i="27" s="1"/>
  <c r="T88" i="27" s="1"/>
  <c r="T89" i="27" s="1"/>
  <c r="T90" i="27" s="1"/>
  <c r="T91" i="27" s="1"/>
  <c r="T92" i="27" s="1"/>
  <c r="T93" i="27" s="1"/>
  <c r="T94" i="27" s="1"/>
  <c r="T95" i="27" s="1"/>
  <c r="T96" i="27" s="1"/>
  <c r="T97" i="27" s="1"/>
  <c r="T98" i="27" s="1"/>
  <c r="T99" i="27" s="1"/>
  <c r="T100" i="27" s="1"/>
  <c r="T101" i="27" s="1"/>
  <c r="T102" i="27" s="1"/>
  <c r="T103" i="27" s="1"/>
  <c r="T104" i="27" s="1"/>
  <c r="T105" i="27" s="1"/>
  <c r="T106" i="27" s="1"/>
  <c r="T107" i="27" s="1"/>
  <c r="R47" i="27"/>
  <c r="A46" i="27" l="1"/>
  <c r="R48" i="27"/>
  <c r="A47" i="27"/>
  <c r="R49" i="27" l="1"/>
  <c r="A48" i="27"/>
  <c r="A83" i="27"/>
  <c r="A82" i="27"/>
  <c r="R50" i="27" l="1"/>
  <c r="A49" i="27"/>
  <c r="A84" i="27"/>
  <c r="R51" i="27" l="1"/>
  <c r="A50" i="27"/>
  <c r="A85" i="27"/>
  <c r="R52" i="27" l="1"/>
  <c r="A51" i="27"/>
  <c r="A86" i="27"/>
  <c r="R53" i="27" l="1"/>
  <c r="A52" i="27"/>
  <c r="A87" i="27"/>
  <c r="R54" i="27" l="1"/>
  <c r="A53" i="27"/>
  <c r="A88" i="27"/>
  <c r="R55" i="27" l="1"/>
  <c r="A54" i="27"/>
  <c r="A89" i="27"/>
  <c r="R56" i="27" l="1"/>
  <c r="A55" i="27"/>
  <c r="A90" i="27"/>
  <c r="R57" i="27" l="1"/>
  <c r="A56" i="27"/>
  <c r="M59" i="27" s="1"/>
  <c r="A91" i="27"/>
  <c r="R58" i="27" l="1"/>
  <c r="A57" i="27"/>
  <c r="A92" i="27"/>
  <c r="R59" i="27" l="1"/>
  <c r="A58" i="27"/>
  <c r="A93" i="27"/>
  <c r="R60" i="27" l="1"/>
  <c r="A59" i="27"/>
  <c r="A94" i="27"/>
  <c r="R61" i="27" l="1"/>
  <c r="A60" i="27"/>
  <c r="A95" i="27"/>
  <c r="D10" i="35" a="1"/>
  <c r="D3" i="35" a="1"/>
  <c r="D11" i="35" a="1"/>
  <c r="D9" i="35" a="1"/>
  <c r="D10" i="35" l="1"/>
  <c r="D9" i="35"/>
  <c r="D3" i="35"/>
  <c r="D4" i="35" s="1"/>
  <c r="D11" i="35"/>
  <c r="R62" i="27"/>
  <c r="A61" i="27"/>
  <c r="A96" i="27"/>
  <c r="D8" i="35" l="1"/>
  <c r="C3" i="35" s="1"/>
  <c r="E3" i="35" s="1"/>
  <c r="E4" i="35" s="1"/>
  <c r="R63" i="27"/>
  <c r="A62" i="27"/>
  <c r="A97" i="27"/>
  <c r="C4" i="35" l="1"/>
  <c r="R64" i="27"/>
  <c r="A63" i="27"/>
  <c r="R65" i="27" l="1"/>
  <c r="A64" i="27"/>
  <c r="R66" i="27" l="1"/>
  <c r="A65" i="27"/>
  <c r="R67" i="27" l="1"/>
  <c r="A66" i="27"/>
  <c r="R68" i="27" l="1"/>
  <c r="A67" i="27"/>
  <c r="R69" i="27" l="1"/>
  <c r="A68" i="27"/>
  <c r="R70" i="27" l="1"/>
  <c r="A69" i="27"/>
  <c r="R71" i="27" l="1"/>
  <c r="A70" i="27"/>
  <c r="R72" i="27" l="1"/>
  <c r="A71" i="27"/>
  <c r="R73" i="27" l="1"/>
  <c r="A72" i="27"/>
  <c r="R74" i="27" l="1"/>
  <c r="A73" i="27"/>
  <c r="R75" i="27" l="1"/>
  <c r="A74" i="27"/>
  <c r="R76" i="27" l="1"/>
  <c r="A75" i="27"/>
  <c r="R77" i="27" l="1"/>
  <c r="A76" i="27"/>
  <c r="R78" i="27" l="1"/>
  <c r="A77" i="27"/>
  <c r="A78" i="27" l="1"/>
  <c r="R79" i="27"/>
  <c r="R80" i="27" l="1"/>
  <c r="A79" i="27"/>
  <c r="R81" i="27" l="1"/>
  <c r="A80" i="27"/>
  <c r="A81" i="27" l="1"/>
  <c r="R82" i="27"/>
  <c r="R83" i="27" s="1"/>
  <c r="R84" i="27" s="1"/>
  <c r="R85" i="27" s="1"/>
  <c r="R86" i="27" s="1"/>
  <c r="R87" i="27" s="1"/>
  <c r="R88" i="27" s="1"/>
  <c r="R89" i="27" s="1"/>
  <c r="R90" i="27" s="1"/>
  <c r="R91" i="27" s="1"/>
  <c r="R92" i="27" s="1"/>
  <c r="R93" i="27" s="1"/>
  <c r="R94" i="27" s="1"/>
  <c r="R95" i="27" s="1"/>
  <c r="R96" i="27" s="1"/>
  <c r="R97" i="27" s="1"/>
  <c r="R98" i="27" s="1"/>
  <c r="R99" i="27" s="1"/>
  <c r="R100" i="27" s="1"/>
  <c r="R101" i="27" s="1"/>
  <c r="R102" i="27" s="1"/>
  <c r="R103" i="27" s="1"/>
  <c r="R104" i="27" s="1"/>
  <c r="R105" i="27" s="1"/>
  <c r="R106" i="27" s="1"/>
  <c r="R107" i="2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<sst xmlns="http://schemas.openxmlformats.org/spreadsheetml/2006/main" count="869" uniqueCount="322">
  <si>
    <t>日時</t>
    <rPh sb="0" eb="2">
      <t>ニチジ</t>
    </rPh>
    <phoneticPr fontId="3"/>
  </si>
  <si>
    <t>版</t>
    <rPh sb="0" eb="1">
      <t>ハン</t>
    </rPh>
    <phoneticPr fontId="3"/>
  </si>
  <si>
    <t>作業者</t>
    <rPh sb="0" eb="3">
      <t>サギョウシャ</t>
    </rPh>
    <phoneticPr fontId="3"/>
  </si>
  <si>
    <t>変更内容</t>
    <rPh sb="0" eb="2">
      <t>ヘンコウ</t>
    </rPh>
    <rPh sb="2" eb="4">
      <t>ナイヨウ</t>
    </rPh>
    <phoneticPr fontId="3"/>
  </si>
  <si>
    <t>No</t>
    <phoneticPr fontId="3"/>
  </si>
  <si>
    <t>大項目</t>
    <rPh sb="0" eb="3">
      <t>ダイコウモク</t>
    </rPh>
    <phoneticPr fontId="3"/>
  </si>
  <si>
    <t>中項目</t>
    <rPh sb="0" eb="1">
      <t>チュウ</t>
    </rPh>
    <rPh sb="1" eb="3">
      <t>コウモク</t>
    </rPh>
    <phoneticPr fontId="3"/>
  </si>
  <si>
    <t>小項目</t>
    <rPh sb="0" eb="3">
      <t>ショウコウモク</t>
    </rPh>
    <phoneticPr fontId="3"/>
  </si>
  <si>
    <t>試験日</t>
    <rPh sb="0" eb="3">
      <t>シケンビ</t>
    </rPh>
    <phoneticPr fontId="3"/>
  </si>
  <si>
    <t>試験者</t>
    <rPh sb="0" eb="2">
      <t>シケン</t>
    </rPh>
    <rPh sb="2" eb="3">
      <t>シャ</t>
    </rPh>
    <phoneticPr fontId="3"/>
  </si>
  <si>
    <t>試験結果</t>
    <rPh sb="0" eb="2">
      <t>シケン</t>
    </rPh>
    <rPh sb="2" eb="4">
      <t>ケッカ</t>
    </rPh>
    <phoneticPr fontId="3"/>
  </si>
  <si>
    <t>全ページ</t>
    <rPh sb="0" eb="1">
      <t>ゼン</t>
    </rPh>
    <phoneticPr fontId="3"/>
  </si>
  <si>
    <t>新規改定</t>
    <rPh sb="0" eb="2">
      <t>シンキ</t>
    </rPh>
    <rPh sb="2" eb="4">
      <t>カイテイ</t>
    </rPh>
    <phoneticPr fontId="3"/>
  </si>
  <si>
    <t>大番号</t>
    <rPh sb="0" eb="3">
      <t>ダイバンゴウ</t>
    </rPh>
    <phoneticPr fontId="3"/>
  </si>
  <si>
    <t>中番号</t>
    <rPh sb="0" eb="1">
      <t>チュウ</t>
    </rPh>
    <rPh sb="1" eb="3">
      <t>バンゴウ</t>
    </rPh>
    <phoneticPr fontId="3"/>
  </si>
  <si>
    <t>小番号</t>
    <rPh sb="0" eb="3">
      <t>ショウバンゴウ</t>
    </rPh>
    <phoneticPr fontId="3"/>
  </si>
  <si>
    <t>シート番号</t>
    <rPh sb="3" eb="5">
      <t>バンゴウ</t>
    </rPh>
    <phoneticPr fontId="3"/>
  </si>
  <si>
    <t>備考</t>
    <rPh sb="0" eb="2">
      <t>ビコウ</t>
    </rPh>
    <phoneticPr fontId="3"/>
  </si>
  <si>
    <t>重複項目</t>
    <rPh sb="0" eb="2">
      <t>チョウフク</t>
    </rPh>
    <rPh sb="2" eb="4">
      <t>コウモク</t>
    </rPh>
    <phoneticPr fontId="3"/>
  </si>
  <si>
    <t>全項目数</t>
    <phoneticPr fontId="3"/>
  </si>
  <si>
    <t>実施済み</t>
    <rPh sb="0" eb="2">
      <t>ジッシ</t>
    </rPh>
    <rPh sb="2" eb="3">
      <t>ズ</t>
    </rPh>
    <phoneticPr fontId="3"/>
  </si>
  <si>
    <t>未実施</t>
    <rPh sb="0" eb="3">
      <t>ミジッシ</t>
    </rPh>
    <phoneticPr fontId="3"/>
  </si>
  <si>
    <t>計</t>
    <rPh sb="0" eb="1">
      <t>ケイ</t>
    </rPh>
    <phoneticPr fontId="3"/>
  </si>
  <si>
    <t>集計</t>
    <rPh sb="0" eb="2">
      <t>シュウケイ</t>
    </rPh>
    <phoneticPr fontId="3"/>
  </si>
  <si>
    <t>試験シート</t>
    <rPh sb="0" eb="2">
      <t>シケン</t>
    </rPh>
    <phoneticPr fontId="3"/>
  </si>
  <si>
    <t>変更箇所</t>
    <rPh sb="0" eb="2">
      <t>ヘンコウ</t>
    </rPh>
    <rPh sb="2" eb="4">
      <t>カショ</t>
    </rPh>
    <phoneticPr fontId="3"/>
  </si>
  <si>
    <t>試験種別</t>
    <rPh sb="0" eb="2">
      <t>シケン</t>
    </rPh>
    <rPh sb="2" eb="4">
      <t>シュベツ</t>
    </rPh>
    <phoneticPr fontId="3"/>
  </si>
  <si>
    <t>試験項目数内訳</t>
    <rPh sb="0" eb="2">
      <t>シケン</t>
    </rPh>
    <rPh sb="2" eb="4">
      <t>コウモク</t>
    </rPh>
    <rPh sb="4" eb="5">
      <t>スウ</t>
    </rPh>
    <rPh sb="5" eb="7">
      <t>ウチワケ</t>
    </rPh>
    <phoneticPr fontId="3"/>
  </si>
  <si>
    <t>全項目数</t>
    <rPh sb="0" eb="1">
      <t>ゼン</t>
    </rPh>
    <rPh sb="1" eb="4">
      <t>コウモクスウ</t>
    </rPh>
    <phoneticPr fontId="3"/>
  </si>
  <si>
    <t>正常</t>
    <phoneticPr fontId="3"/>
  </si>
  <si>
    <t>準正常</t>
    <phoneticPr fontId="3"/>
  </si>
  <si>
    <t>異常</t>
    <rPh sb="0" eb="2">
      <t>イジョウ</t>
    </rPh>
    <phoneticPr fontId="3"/>
  </si>
  <si>
    <t>優先度</t>
    <rPh sb="0" eb="3">
      <t>ユウセンド</t>
    </rPh>
    <phoneticPr fontId="3"/>
  </si>
  <si>
    <t>OK, NG</t>
    <phoneticPr fontId="3"/>
  </si>
  <si>
    <t>α</t>
    <phoneticPr fontId="3"/>
  </si>
  <si>
    <t>A</t>
    <phoneticPr fontId="3"/>
  </si>
  <si>
    <t>B</t>
    <phoneticPr fontId="3"/>
  </si>
  <si>
    <t>C</t>
    <phoneticPr fontId="3"/>
  </si>
  <si>
    <t>確認内容</t>
    <rPh sb="0" eb="4">
      <t>カクニンナイヨウ</t>
    </rPh>
    <phoneticPr fontId="3"/>
  </si>
  <si>
    <t>確認手順</t>
    <rPh sb="0" eb="2">
      <t>カクニン</t>
    </rPh>
    <rPh sb="2" eb="4">
      <t>テジュン</t>
    </rPh>
    <phoneticPr fontId="3"/>
  </si>
  <si>
    <t>1.結合試験</t>
    <rPh sb="2" eb="4">
      <t>ケツゴウ</t>
    </rPh>
    <rPh sb="4" eb="6">
      <t>シケン</t>
    </rPh>
    <phoneticPr fontId="3"/>
  </si>
  <si>
    <t>結合試験項目書</t>
    <rPh sb="0" eb="2">
      <t>ケツゴウ</t>
    </rPh>
    <rPh sb="2" eb="4">
      <t>シケン</t>
    </rPh>
    <rPh sb="4" eb="6">
      <t>コウモク</t>
    </rPh>
    <phoneticPr fontId="3"/>
  </si>
  <si>
    <t>No</t>
    <phoneticPr fontId="3"/>
  </si>
  <si>
    <t>精度閾値を超過した値を入力する</t>
  </si>
  <si>
    <t>準正常</t>
  </si>
  <si>
    <t>正常</t>
  </si>
  <si>
    <t>※1 配列に格納された空間IDの順番は不定</t>
    <rPh sb="3" eb="5">
      <t>ハイレツ</t>
    </rPh>
    <rPh sb="6" eb="8">
      <t>カクノウ</t>
    </rPh>
    <rPh sb="11" eb="13">
      <t>クウカン</t>
    </rPh>
    <rPh sb="16" eb="18">
      <t>ジュンバン</t>
    </rPh>
    <rPh sb="19" eb="21">
      <t>フテイ</t>
    </rPh>
    <phoneticPr fontId="3"/>
  </si>
  <si>
    <t>パラメータ入力チェック(拡張空間ID)</t>
  </si>
  <si>
    <t>パラメータ入力チェック(拡張空間ID)</t>
    <phoneticPr fontId="3"/>
  </si>
  <si>
    <t>パラメータ入力チェック(空間ID)</t>
  </si>
  <si>
    <t>区切り文字不足： 3個以下</t>
    <rPh sb="0" eb="2">
      <t>クギ</t>
    </rPh>
    <rPh sb="3" eb="7">
      <t>モジフソク</t>
    </rPh>
    <rPh sb="10" eb="13">
      <t>コイカ</t>
    </rPh>
    <phoneticPr fontId="3"/>
  </si>
  <si>
    <t>区切り文字過多： 5個以上</t>
    <rPh sb="0" eb="2">
      <t>クギ</t>
    </rPh>
    <rPh sb="3" eb="5">
      <t>モジ</t>
    </rPh>
    <rPh sb="5" eb="7">
      <t>カタ</t>
    </rPh>
    <rPh sb="10" eb="13">
      <t>コイジョウ</t>
    </rPh>
    <phoneticPr fontId="3"/>
  </si>
  <si>
    <t>利用不可の文字を含む</t>
    <rPh sb="0" eb="4">
      <t>リヨウフカ</t>
    </rPh>
    <rPh sb="5" eb="7">
      <t>モジ</t>
    </rPh>
    <rPh sb="8" eb="9">
      <t>フク</t>
    </rPh>
    <phoneticPr fontId="3"/>
  </si>
  <si>
    <t>水平精度インデクス値無し</t>
    <rPh sb="0" eb="4">
      <t>スイヘイセイド</t>
    </rPh>
    <rPh sb="9" eb="10">
      <t>アタイ</t>
    </rPh>
    <rPh sb="10" eb="11">
      <t>ナ</t>
    </rPh>
    <phoneticPr fontId="3"/>
  </si>
  <si>
    <t>垂直精度インデクス値無し</t>
    <rPh sb="0" eb="2">
      <t>スイチョク</t>
    </rPh>
    <rPh sb="2" eb="4">
      <t>セイド</t>
    </rPh>
    <rPh sb="9" eb="10">
      <t>アタイ</t>
    </rPh>
    <rPh sb="10" eb="11">
      <t>ナ</t>
    </rPh>
    <phoneticPr fontId="3"/>
  </si>
  <si>
    <t>経度インデクス値無し</t>
    <rPh sb="0" eb="2">
      <t>ケイド</t>
    </rPh>
    <rPh sb="7" eb="8">
      <t>アタイ</t>
    </rPh>
    <rPh sb="8" eb="9">
      <t>ナ</t>
    </rPh>
    <phoneticPr fontId="3"/>
  </si>
  <si>
    <t>緯度インデクス値無し</t>
    <rPh sb="0" eb="2">
      <t>イド</t>
    </rPh>
    <rPh sb="7" eb="8">
      <t>アタイ</t>
    </rPh>
    <rPh sb="8" eb="9">
      <t>ナ</t>
    </rPh>
    <phoneticPr fontId="3"/>
  </si>
  <si>
    <t>高さインデクス値無し</t>
    <rPh sb="0" eb="1">
      <t>タカ</t>
    </rPh>
    <rPh sb="7" eb="8">
      <t>アタイ</t>
    </rPh>
    <rPh sb="8" eb="9">
      <t>ナ</t>
    </rPh>
    <phoneticPr fontId="3"/>
  </si>
  <si>
    <t>精度：36</t>
    <rPh sb="0" eb="2">
      <t>セイド</t>
    </rPh>
    <phoneticPr fontId="3"/>
  </si>
  <si>
    <t>精度：-1</t>
    <rPh sb="0" eb="2">
      <t>セイド</t>
    </rPh>
    <phoneticPr fontId="3"/>
  </si>
  <si>
    <t>区切り文字不足： 2個以下</t>
    <rPh sb="0" eb="2">
      <t>クギ</t>
    </rPh>
    <rPh sb="3" eb="7">
      <t>モジフソク</t>
    </rPh>
    <rPh sb="10" eb="13">
      <t>コイカ</t>
    </rPh>
    <phoneticPr fontId="3"/>
  </si>
  <si>
    <t>区切り文字過多： 4個以上</t>
    <rPh sb="0" eb="2">
      <t>クギ</t>
    </rPh>
    <rPh sb="3" eb="5">
      <t>モジ</t>
    </rPh>
    <rPh sb="5" eb="7">
      <t>カタ</t>
    </rPh>
    <rPh sb="10" eb="13">
      <t>コイジョウ</t>
    </rPh>
    <phoneticPr fontId="3"/>
  </si>
  <si>
    <t>精度インデクス値無し</t>
    <rPh sb="0" eb="2">
      <t>セイド</t>
    </rPh>
    <rPh sb="7" eb="8">
      <t>アタイ</t>
    </rPh>
    <rPh sb="8" eb="9">
      <t>ナ</t>
    </rPh>
    <phoneticPr fontId="3"/>
  </si>
  <si>
    <t>変換前後の精度差パターン</t>
    <rPh sb="0" eb="4">
      <t>ヘンカンゼンゴ</t>
    </rPh>
    <rPh sb="5" eb="7">
      <t>セイド</t>
    </rPh>
    <rPh sb="7" eb="8">
      <t>サ</t>
    </rPh>
    <phoneticPr fontId="3"/>
  </si>
  <si>
    <t>変換前拡張空間ID</t>
    <rPh sb="0" eb="3">
      <t>ヘンカンマエ</t>
    </rPh>
    <rPh sb="3" eb="7">
      <t>カクチョウクウカン</t>
    </rPh>
    <phoneticPr fontId="3"/>
  </si>
  <si>
    <t>変換後水平方向精度</t>
    <phoneticPr fontId="3"/>
  </si>
  <si>
    <t>期待値※1</t>
    <rPh sb="0" eb="3">
      <t>キタイアタイ</t>
    </rPh>
    <phoneticPr fontId="3"/>
  </si>
  <si>
    <t>〇拡張空間ID試験データ</t>
    <rPh sb="1" eb="5">
      <t>カクチョウクウカン</t>
    </rPh>
    <rPh sb="7" eb="9">
      <t>シケン</t>
    </rPh>
    <phoneticPr fontId="3"/>
  </si>
  <si>
    <t>〇空間ID試験データ</t>
    <rPh sb="1" eb="3">
      <t>クウカン</t>
    </rPh>
    <rPh sb="5" eb="7">
      <t>シケン</t>
    </rPh>
    <phoneticPr fontId="3"/>
  </si>
  <si>
    <t>変換後精度</t>
    <phoneticPr fontId="3"/>
  </si>
  <si>
    <t>期待値※1</t>
    <rPh sb="0" eb="2">
      <t>キタイ</t>
    </rPh>
    <rPh sb="2" eb="3">
      <t>アタイ</t>
    </rPh>
    <phoneticPr fontId="3"/>
  </si>
  <si>
    <t>水平方向精度：36</t>
    <rPh sb="0" eb="2">
      <t>スイヘイ</t>
    </rPh>
    <rPh sb="2" eb="4">
      <t>ホウコウ</t>
    </rPh>
    <rPh sb="4" eb="6">
      <t>セイド</t>
    </rPh>
    <phoneticPr fontId="3"/>
  </si>
  <si>
    <t>水平方向精度：-1</t>
    <rPh sb="0" eb="2">
      <t>スイヘイ</t>
    </rPh>
    <rPh sb="2" eb="4">
      <t>ホウコウ</t>
    </rPh>
    <rPh sb="4" eb="6">
      <t>セイド</t>
    </rPh>
    <phoneticPr fontId="3"/>
  </si>
  <si>
    <t>垂直方向精度：36</t>
    <rPh sb="0" eb="2">
      <t>スイチョク</t>
    </rPh>
    <rPh sb="4" eb="6">
      <t>セイド</t>
    </rPh>
    <phoneticPr fontId="3"/>
  </si>
  <si>
    <t>垂直方向精度：-1</t>
    <rPh sb="0" eb="2">
      <t>スイチョク</t>
    </rPh>
    <rPh sb="4" eb="6">
      <t>セイド</t>
    </rPh>
    <phoneticPr fontId="3"/>
  </si>
  <si>
    <t>水平・垂直方向精度：36</t>
    <rPh sb="0" eb="2">
      <t>スイヘイ</t>
    </rPh>
    <rPh sb="3" eb="5">
      <t>スイチョク</t>
    </rPh>
    <rPh sb="5" eb="7">
      <t>ホウコウ</t>
    </rPh>
    <rPh sb="7" eb="9">
      <t>セイド</t>
    </rPh>
    <phoneticPr fontId="3"/>
  </si>
  <si>
    <t>水平・垂直方向精度：-1</t>
    <rPh sb="0" eb="2">
      <t>スイヘイ</t>
    </rPh>
    <rPh sb="3" eb="5">
      <t>スイチョク</t>
    </rPh>
    <rPh sb="5" eb="7">
      <t>ホウコウ</t>
    </rPh>
    <rPh sb="7" eb="9">
      <t>セイド</t>
    </rPh>
    <phoneticPr fontId="3"/>
  </si>
  <si>
    <t>変換前空間ID</t>
    <rPh sb="0" eb="3">
      <t>ヘンカンマエ</t>
    </rPh>
    <rPh sb="3" eb="5">
      <t>クウカン</t>
    </rPh>
    <phoneticPr fontId="3"/>
  </si>
  <si>
    <t>最適化</t>
    <rPh sb="0" eb="3">
      <t>サイテキカ</t>
    </rPh>
    <phoneticPr fontId="3"/>
  </si>
  <si>
    <t>拡張空間IDフォーマット不正の拡張空間IDが入力される</t>
    <phoneticPr fontId="3"/>
  </si>
  <si>
    <t>最適化の試験パターンの網羅(拡張空間ID)</t>
    <rPh sb="0" eb="3">
      <t>サイテキカ</t>
    </rPh>
    <phoneticPr fontId="3"/>
  </si>
  <si>
    <t>最適化の試験パターンの網羅(空間ID)</t>
    <rPh sb="0" eb="3">
      <t>サイテキカ</t>
    </rPh>
    <phoneticPr fontId="3"/>
  </si>
  <si>
    <t>最適化後の水平/垂直方向精度が最適化条件を満たすパターン</t>
    <phoneticPr fontId="3"/>
  </si>
  <si>
    <t>水平方向精度：マージ前と等しい
垂直方向精度：マージ前と等しい</t>
    <rPh sb="0" eb="6">
      <t>スイヘイホウコウセイド</t>
    </rPh>
    <rPh sb="12" eb="13">
      <t>ヒト</t>
    </rPh>
    <rPh sb="16" eb="22">
      <t>スイチョクホウコウセイド</t>
    </rPh>
    <rPh sb="26" eb="27">
      <t>マエ</t>
    </rPh>
    <rPh sb="28" eb="29">
      <t>ヒト</t>
    </rPh>
    <phoneticPr fontId="3"/>
  </si>
  <si>
    <t>最適化後の水平/垂直方向精度が最適化条件を満たさないパターン</t>
    <phoneticPr fontId="3"/>
  </si>
  <si>
    <t>最適化後のボクセル内を満たす拡張空間ID群を入力</t>
    <phoneticPr fontId="3"/>
  </si>
  <si>
    <t>異なる精度の拡張空間IDの組み合わせ</t>
    <rPh sb="0" eb="1">
      <t>コト</t>
    </rPh>
    <rPh sb="3" eb="5">
      <t>セイド</t>
    </rPh>
    <rPh sb="6" eb="10">
      <t>カクチョウクウカン</t>
    </rPh>
    <rPh sb="13" eb="14">
      <t>ク</t>
    </rPh>
    <rPh sb="15" eb="16">
      <t>ア</t>
    </rPh>
    <phoneticPr fontId="3"/>
  </si>
  <si>
    <t>同じ精度の拡張空間IDの組み合わせ</t>
    <rPh sb="0" eb="1">
      <t>オナ</t>
    </rPh>
    <rPh sb="2" eb="4">
      <t>セイド</t>
    </rPh>
    <rPh sb="5" eb="7">
      <t>カクチョウ</t>
    </rPh>
    <rPh sb="7" eb="9">
      <t>クウカン</t>
    </rPh>
    <rPh sb="12" eb="13">
      <t>ク</t>
    </rPh>
    <rPh sb="14" eb="15">
      <t>ア</t>
    </rPh>
    <phoneticPr fontId="3"/>
  </si>
  <si>
    <t>最適化後のボクセル内を満たさない拡張空間ID群を入力</t>
  </si>
  <si>
    <t>最適化後のボクセル内を満たす/満たさない拡張空間ID群を同時に入力</t>
  </si>
  <si>
    <t>同じ範囲に重なっている拡張空間IDが複数ある</t>
    <rPh sb="0" eb="1">
      <t>オナ</t>
    </rPh>
    <rPh sb="2" eb="4">
      <t>ハンイ</t>
    </rPh>
    <rPh sb="5" eb="6">
      <t>カサ</t>
    </rPh>
    <rPh sb="11" eb="15">
      <t>カクチョウクウカン</t>
    </rPh>
    <rPh sb="18" eb="20">
      <t>フクスウ</t>
    </rPh>
    <phoneticPr fontId="3"/>
  </si>
  <si>
    <t>重複解消後の拡張空間IDが1つ</t>
    <rPh sb="0" eb="2">
      <t>チョウフク</t>
    </rPh>
    <rPh sb="2" eb="5">
      <t>カイショウゴ</t>
    </rPh>
    <rPh sb="6" eb="8">
      <t>カクチョウ</t>
    </rPh>
    <rPh sb="8" eb="10">
      <t>クウカン</t>
    </rPh>
    <phoneticPr fontId="3"/>
  </si>
  <si>
    <t>重複解消後の拡張空間IDが複数</t>
    <rPh sb="0" eb="2">
      <t>チョウフク</t>
    </rPh>
    <rPh sb="2" eb="5">
      <t>カイショウゴ</t>
    </rPh>
    <rPh sb="6" eb="8">
      <t>カクチョウ</t>
    </rPh>
    <rPh sb="8" eb="10">
      <t>クウカン</t>
    </rPh>
    <rPh sb="13" eb="15">
      <t>フクスウ</t>
    </rPh>
    <phoneticPr fontId="3"/>
  </si>
  <si>
    <t>最適化前拡張空間IDの精度を変えても最適化結果が取得できる</t>
    <rPh sb="18" eb="21">
      <t>サイテキカ</t>
    </rPh>
    <phoneticPr fontId="3"/>
  </si>
  <si>
    <t>最適化前水平方向精度：35
最適化後水平方向精度：34</t>
    <rPh sb="0" eb="3">
      <t>サイテキカ</t>
    </rPh>
    <rPh sb="4" eb="10">
      <t>スイヘイホウコウセイド</t>
    </rPh>
    <rPh sb="14" eb="16">
      <t>サイテキ</t>
    </rPh>
    <rPh sb="16" eb="17">
      <t>カ</t>
    </rPh>
    <rPh sb="17" eb="18">
      <t>ゴ</t>
    </rPh>
    <rPh sb="18" eb="20">
      <t>スイヘイ</t>
    </rPh>
    <rPh sb="20" eb="22">
      <t>ホウコウ</t>
    </rPh>
    <rPh sb="22" eb="24">
      <t>セイド</t>
    </rPh>
    <phoneticPr fontId="3"/>
  </si>
  <si>
    <t>最適化前垂直方向精度：35
最適化後垂直方向精度：34</t>
    <rPh sb="0" eb="3">
      <t>サイテキカ</t>
    </rPh>
    <rPh sb="4" eb="6">
      <t>スイチョク</t>
    </rPh>
    <rPh sb="6" eb="8">
      <t>ホウコウ</t>
    </rPh>
    <rPh sb="8" eb="10">
      <t>セイド</t>
    </rPh>
    <rPh sb="14" eb="16">
      <t>サイテキ</t>
    </rPh>
    <rPh sb="16" eb="17">
      <t>カ</t>
    </rPh>
    <rPh sb="17" eb="18">
      <t>ゴ</t>
    </rPh>
    <rPh sb="18" eb="20">
      <t>スイチョク</t>
    </rPh>
    <rPh sb="20" eb="22">
      <t>ホウコウ</t>
    </rPh>
    <rPh sb="22" eb="24">
      <t>セイド</t>
    </rPh>
    <phoneticPr fontId="3"/>
  </si>
  <si>
    <t>最適化後水平方向精度：0</t>
    <rPh sb="0" eb="2">
      <t>サイテキ</t>
    </rPh>
    <rPh sb="2" eb="3">
      <t>カ</t>
    </rPh>
    <rPh sb="3" eb="4">
      <t>ゴ</t>
    </rPh>
    <rPh sb="4" eb="10">
      <t>スイヘイホウコウセイド</t>
    </rPh>
    <phoneticPr fontId="3"/>
  </si>
  <si>
    <t>最適化後水平方向精度：35</t>
    <rPh sb="0" eb="3">
      <t>サイテキカ</t>
    </rPh>
    <rPh sb="4" eb="10">
      <t>スイヘイホウコウセイド</t>
    </rPh>
    <phoneticPr fontId="3"/>
  </si>
  <si>
    <t>最適化後垂直方向精度：0</t>
    <rPh sb="0" eb="3">
      <t>サイテキカ</t>
    </rPh>
    <rPh sb="4" eb="6">
      <t>スイチョク</t>
    </rPh>
    <rPh sb="6" eb="8">
      <t>ホウコウ</t>
    </rPh>
    <rPh sb="8" eb="10">
      <t>セイド</t>
    </rPh>
    <phoneticPr fontId="3"/>
  </si>
  <si>
    <t>最適化後垂直方向精度：35</t>
    <rPh sb="0" eb="3">
      <t>サイテキカ</t>
    </rPh>
    <rPh sb="4" eb="6">
      <t>スイチョク</t>
    </rPh>
    <rPh sb="6" eb="8">
      <t>ホウコウ</t>
    </rPh>
    <rPh sb="8" eb="10">
      <t>セイド</t>
    </rPh>
    <phoneticPr fontId="3"/>
  </si>
  <si>
    <t>精度：マージ前と等しい</t>
    <rPh sb="8" eb="9">
      <t>ヒト</t>
    </rPh>
    <phoneticPr fontId="3"/>
  </si>
  <si>
    <t>最適化前精度：35
最適化後精度：34</t>
    <rPh sb="0" eb="3">
      <t>サイテキカ</t>
    </rPh>
    <rPh sb="4" eb="6">
      <t>セイド</t>
    </rPh>
    <rPh sb="10" eb="12">
      <t>サイテキ</t>
    </rPh>
    <rPh sb="12" eb="13">
      <t>カ</t>
    </rPh>
    <rPh sb="13" eb="14">
      <t>ゴ</t>
    </rPh>
    <rPh sb="14" eb="16">
      <t>セイド</t>
    </rPh>
    <phoneticPr fontId="3"/>
  </si>
  <si>
    <t>・以下のspatialIdErrorが返却されること
　- エラーコード：InputValueError
　- エラーメッセージ：入力チェックエラー</t>
    <phoneticPr fontId="3"/>
  </si>
  <si>
    <t>1. 引数に以下を指定して、integrate.MergeExtendedSpatialIdsを呼び出す。
　拡張空間ID配列：正常な任意の値
　水平方向精度　 ： 正常な任意の値
　垂直方向精度　 ： -1</t>
    <phoneticPr fontId="3"/>
  </si>
  <si>
    <t>1. 引数に以下を指定して、integrate.MergeExtendedSpatialIdsを呼び出す。
　拡張空間ID配列：正常な任意の値
　水平方向精度　 ： 36
　垂直方向精度　 ： 36</t>
    <phoneticPr fontId="3"/>
  </si>
  <si>
    <t>1. 引数に以下を指定して、integrate.MergeExtendedSpatialIdsを呼び出す。
　拡張空間ID配列：正常な任意の値
　水平方向精度　 ： -1
　垂直方向精度　 ： -1</t>
    <phoneticPr fontId="3"/>
  </si>
  <si>
    <t xml:space="preserve">1. 引数に以下を指定して、integrate.MergeExtendedSpatialIdsを呼び出す。
　拡張空間ID配列：正常な任意の値
　水平方向精度： 36
　垂直方向精度： 正常な任意の値
</t>
    <rPh sb="61" eb="63">
      <t>ハイレツ</t>
    </rPh>
    <phoneticPr fontId="3"/>
  </si>
  <si>
    <t>1. 引数に以下を指定して、integrate.MergeExtendedSpatialIdsを呼び出す。
　拡張空間ID配列：正常な任意の値
　水平方向精度： -1
　垂直方向精度： 正常な任意の値</t>
    <phoneticPr fontId="3"/>
  </si>
  <si>
    <t>1. 引数に以下を指定して、integrate.MergeExtendedSpatialIdsを呼び出す。
　拡張空間ID配列：正常な任意の値
　水平方向精度： 正常な任意の値
　垂直方向精度　 ： 36</t>
    <phoneticPr fontId="3"/>
  </si>
  <si>
    <t>■ 最適化条件の精度 試験データパターン</t>
    <rPh sb="11" eb="13">
      <t>シケン</t>
    </rPh>
    <phoneticPr fontId="32"/>
  </si>
  <si>
    <t>精度パターン</t>
    <rPh sb="0" eb="2">
      <t>セイド</t>
    </rPh>
    <phoneticPr fontId="3"/>
  </si>
  <si>
    <t>-</t>
  </si>
  <si>
    <t>最適化後の精度よりも大きい精度、小さい精度、等しい精度の空間IDを同時に入力</t>
  </si>
  <si>
    <t>最適化後精度：35</t>
  </si>
  <si>
    <t>最適化後空間IDの精度における最大/最小値を入力</t>
  </si>
  <si>
    <t>最適化後精度：0</t>
  </si>
  <si>
    <t>最適化前空間IDの精度を変えても最適化結果が取得できる</t>
  </si>
  <si>
    <t>最適化後のボクセルが重複しない空間ID群を入力</t>
  </si>
  <si>
    <t>最適化後のボクセルが重複する空間ID群を入力</t>
  </si>
  <si>
    <t>最適化後の精度以上/未満の空間IDを同時に入力</t>
  </si>
  <si>
    <t>最適化後のボクセル内を満たす/満たさない空間ID群を同時に入力</t>
  </si>
  <si>
    <t>最適化後のボクセル内を満たさない空間ID群を入力</t>
  </si>
  <si>
    <t>最適化後のボクセル内を満たす空間ID群を入力</t>
  </si>
  <si>
    <t>空間IDフォーマット不正の空間IDが入力される</t>
  </si>
  <si>
    <t>最適化後の精度よりも大きい精度、小さい精度、等しい精度の拡張空間IDを同時に入力</t>
  </si>
  <si>
    <t>最適化後拡張空間IDの精度における最大/最小値を入力</t>
  </si>
  <si>
    <t>最適化後のボクセルが重複しない拡張空間ID群を入力</t>
  </si>
  <si>
    <t>最適化後のボクセルが重複する拡張空間ID群を入力</t>
  </si>
  <si>
    <t>最適化後の精度以上/未満の拡張空間IDを同時に入力</t>
  </si>
  <si>
    <t>同じ範囲に重なっている拡張空間IDが複数ある</t>
    <phoneticPr fontId="3"/>
  </si>
  <si>
    <t>ボクセル内パターン</t>
    <phoneticPr fontId="3"/>
  </si>
  <si>
    <t>■ 最適化後のボクセル内データ 試験データパターン</t>
    <rPh sb="16" eb="18">
      <t>シケン</t>
    </rPh>
    <phoneticPr fontId="32"/>
  </si>
  <si>
    <t>空間ID組み合わせ</t>
    <rPh sb="0" eb="2">
      <t>クウカン</t>
    </rPh>
    <rPh sb="4" eb="5">
      <t>ク</t>
    </rPh>
    <rPh sb="6" eb="7">
      <t>ア</t>
    </rPh>
    <phoneticPr fontId="3"/>
  </si>
  <si>
    <t>ボクセル内を満たす</t>
    <rPh sb="4" eb="5">
      <t>ナイ</t>
    </rPh>
    <rPh sb="6" eb="7">
      <t>ミ</t>
    </rPh>
    <phoneticPr fontId="3"/>
  </si>
  <si>
    <t>ボクセル内を満たさない</t>
    <rPh sb="4" eb="5">
      <t>ナイ</t>
    </rPh>
    <rPh sb="6" eb="7">
      <t>ミ</t>
    </rPh>
    <phoneticPr fontId="3"/>
  </si>
  <si>
    <t>ボクセル内を満たさない</t>
    <phoneticPr fontId="3"/>
  </si>
  <si>
    <t>空間ID組み合わせ</t>
    <phoneticPr fontId="3"/>
  </si>
  <si>
    <t>■ 最適化後のボクセルが重複 試験データパターン</t>
    <rPh sb="15" eb="17">
      <t>シケン</t>
    </rPh>
    <phoneticPr fontId="32"/>
  </si>
  <si>
    <t>重複解消後の拡張空間IDが複数</t>
  </si>
  <si>
    <t>重複解消後の拡張空間IDが複数</t>
    <phoneticPr fontId="3"/>
  </si>
  <si>
    <t>同じ範囲に重なっている拡張空間IDが複数ある</t>
  </si>
  <si>
    <t>最適化前水平方向精度：0
最適化後水平方向精度：1</t>
    <rPh sb="0" eb="3">
      <t>サイテキカ</t>
    </rPh>
    <rPh sb="4" eb="10">
      <t>スイヘイホウコウセイド</t>
    </rPh>
    <rPh sb="13" eb="15">
      <t>サイテキ</t>
    </rPh>
    <rPh sb="15" eb="16">
      <t>カ</t>
    </rPh>
    <rPh sb="16" eb="17">
      <t>ゴ</t>
    </rPh>
    <rPh sb="17" eb="19">
      <t>スイヘイ</t>
    </rPh>
    <rPh sb="19" eb="21">
      <t>ホウコウ</t>
    </rPh>
    <rPh sb="21" eb="23">
      <t>セイド</t>
    </rPh>
    <phoneticPr fontId="3"/>
  </si>
  <si>
    <t>最適化前垂直方向精度：0
最適化後垂直方向精度：1</t>
    <rPh sb="0" eb="3">
      <t>サイテキカ</t>
    </rPh>
    <rPh sb="4" eb="6">
      <t>スイチョク</t>
    </rPh>
    <rPh sb="6" eb="8">
      <t>ホウコウ</t>
    </rPh>
    <rPh sb="8" eb="10">
      <t>セイド</t>
    </rPh>
    <rPh sb="13" eb="15">
      <t>サイテキ</t>
    </rPh>
    <rPh sb="15" eb="16">
      <t>カ</t>
    </rPh>
    <rPh sb="16" eb="17">
      <t>ゴ</t>
    </rPh>
    <rPh sb="17" eb="19">
      <t>スイチョク</t>
    </rPh>
    <rPh sb="19" eb="21">
      <t>ホウコウ</t>
    </rPh>
    <rPh sb="21" eb="23">
      <t>セイド</t>
    </rPh>
    <phoneticPr fontId="3"/>
  </si>
  <si>
    <t>最適化前精度：0
最適化後精度：1</t>
    <rPh sb="0" eb="3">
      <t>サイテキカ</t>
    </rPh>
    <rPh sb="4" eb="6">
      <t>セイド</t>
    </rPh>
    <rPh sb="9" eb="11">
      <t>サイテキ</t>
    </rPh>
    <rPh sb="11" eb="12">
      <t>カ</t>
    </rPh>
    <rPh sb="12" eb="13">
      <t>ゴ</t>
    </rPh>
    <rPh sb="13" eb="15">
      <t>セイド</t>
    </rPh>
    <phoneticPr fontId="3"/>
  </si>
  <si>
    <t>■ 最適化前の精度 試験データパターン</t>
    <rPh sb="10" eb="12">
      <t>シケン</t>
    </rPh>
    <phoneticPr fontId="32"/>
  </si>
  <si>
    <t>■ 最適化後の精度 試験データパターン</t>
    <rPh sb="5" eb="6">
      <t>アト</t>
    </rPh>
    <rPh sb="10" eb="12">
      <t>シケン</t>
    </rPh>
    <phoneticPr fontId="32"/>
  </si>
  <si>
    <t>最適化前後の精度差に関する試験用データ</t>
    <rPh sb="0" eb="3">
      <t>サイテキカ</t>
    </rPh>
    <rPh sb="3" eb="5">
      <t>ゼンゴ</t>
    </rPh>
    <rPh sb="6" eb="8">
      <t>セイド</t>
    </rPh>
    <rPh sb="8" eb="9">
      <t>サ</t>
    </rPh>
    <rPh sb="10" eb="11">
      <t>カン</t>
    </rPh>
    <rPh sb="13" eb="16">
      <t>シケンヨウ</t>
    </rPh>
    <phoneticPr fontId="3"/>
  </si>
  <si>
    <t>22/42/42/22/40, 22/43/42/22/41, 22/40/43/22/41, 22/40/40/22/42, 22/41/42/22/40, 22/42/42/22/42, 22/40/42/22/43, 22/40/40/22/40, 22/40/40/22/43, 22/41/40/22/43, 22/40/42/22/40, 22/43/42/22/43, 22/41/43/22/41, 22/42/40/22/41, 22/41/41/22/41, 22/42/42/22/43, 22/41/43/22/40, 22/41/40/22/42, 22/43/42/22/42, 22/40/43/22/40, 22/41/43/22/43, 22/43/43/22/41, 22/41/40/22/40, 22/40/41/22/40, 22/41/41/22/40, 22/40/43/22/42, 22/41/43/22/42, 22/43/43/22/43, 22/42/40/22/42, 22/40/41/22/42, 22/43/40/22/40, 22/42/41/22/40, 22/43/41/22/40, 22/40/42/22/42, 22/40/43/22/43, 22/42/43/22/43, 22/43/43/22/40, 22/43/40/22/43, 22/42/43/22/40, 22/40/41/22/41, 22/41/41/22/43, 22/43/40/22/41, 22/41/41/22/42, 22/41/42/22/43, 22/42/43/22/42, 22/43/43/22/42, 22/40/40/22/41, 22/41/40/22/41, 22/40/41/22/43, 22/42/41/22/41, 22/42/41/22/42, 22/43/40/22/42, 22/43/41/22/42, 22/43/41/22/43, 22/40/42/22/41, 22/42/42/22/41, 22/42/43/22/41, 22/42/40/22/40, 22/42/41/22/43, 22/41/42/22/42, 22/43/42/22/40, 22/42/40/22/43, 22/43/41/22/41, 22/41/42/22/41</t>
    <phoneticPr fontId="3"/>
  </si>
  <si>
    <t>水平方向精度：マージ前より大きい
垂直方向精度：マージ前と等しい</t>
  </si>
  <si>
    <t>水平方向精度：マージ前より小さい
垂直方向精度：マージ前と等しい</t>
    <rPh sb="0" eb="6">
      <t>スイヘイホウコウセイド</t>
    </rPh>
    <rPh sb="13" eb="14">
      <t>チイ</t>
    </rPh>
    <rPh sb="17" eb="23">
      <t>スイチョクホウコウセイド</t>
    </rPh>
    <rPh sb="29" eb="30">
      <t>ヒト</t>
    </rPh>
    <phoneticPr fontId="3"/>
  </si>
  <si>
    <t>水平方向精度：マージ前より小さい
垂直方向精度：マージ前より小さい</t>
    <rPh sb="0" eb="6">
      <t>スイヘイホウコウセイド</t>
    </rPh>
    <rPh sb="13" eb="14">
      <t>チイ</t>
    </rPh>
    <rPh sb="17" eb="23">
      <t>スイチョクホウコウセイド</t>
    </rPh>
    <rPh sb="30" eb="31">
      <t>チイ</t>
    </rPh>
    <phoneticPr fontId="3"/>
  </si>
  <si>
    <t>水平方向精度：マージ前と等しい
垂直方向精度：マージ前より小さい</t>
    <rPh sb="0" eb="6">
      <t>スイヘイホウコウセイド</t>
    </rPh>
    <rPh sb="12" eb="13">
      <t>ヒト</t>
    </rPh>
    <rPh sb="16" eb="22">
      <t>スイチョクホウコウセイド</t>
    </rPh>
    <rPh sb="26" eb="27">
      <t>マエ</t>
    </rPh>
    <rPh sb="29" eb="30">
      <t>チイ</t>
    </rPh>
    <phoneticPr fontId="3"/>
  </si>
  <si>
    <t>水平方向精度：マージ前より大きい
垂直方向精度：マージ前より小さい</t>
    <rPh sb="0" eb="6">
      <t>スイヘイホウコウセイド</t>
    </rPh>
    <rPh sb="13" eb="14">
      <t>オオ</t>
    </rPh>
    <rPh sb="17" eb="23">
      <t>スイチョクホウコウセイド</t>
    </rPh>
    <rPh sb="30" eb="31">
      <t>チイ</t>
    </rPh>
    <phoneticPr fontId="3"/>
  </si>
  <si>
    <t>水平方向精度：マージ前より大きい
垂直方向精度：マージ前と等しい</t>
    <phoneticPr fontId="3"/>
  </si>
  <si>
    <t>水平方向精度：マージ前より大きい
垂直方向精度：マージ前より大きい</t>
    <rPh sb="30" eb="31">
      <t>オオ</t>
    </rPh>
    <phoneticPr fontId="3"/>
  </si>
  <si>
    <t>水平方向精度：マージ前と等しい
垂直方向精度：マージ前より大きい</t>
    <rPh sb="12" eb="13">
      <t>ヒト</t>
    </rPh>
    <rPh sb="29" eb="30">
      <t>オオ</t>
    </rPh>
    <phoneticPr fontId="3"/>
  </si>
  <si>
    <t>水平方向精度：マージ前より小さい
垂直方向精度：マージ前より大きい</t>
    <rPh sb="13" eb="14">
      <t>チイ</t>
    </rPh>
    <rPh sb="30" eb="31">
      <t>オオ</t>
    </rPh>
    <phoneticPr fontId="3"/>
  </si>
  <si>
    <t>精度：マージ前より大きい</t>
    <rPh sb="9" eb="10">
      <t>オオ</t>
    </rPh>
    <phoneticPr fontId="3"/>
  </si>
  <si>
    <t>精度：マージ前より小さい</t>
    <rPh sb="9" eb="10">
      <t>チイ</t>
    </rPh>
    <phoneticPr fontId="3"/>
  </si>
  <si>
    <t>[20/10/10/20/10]</t>
    <phoneticPr fontId="3"/>
  </si>
  <si>
    <t>22/40/40/22/10, 22/41/40/22/10, 22/42/42/22/10, 22/40/43/22/10, 22/41/43/22/10, 22/42/40/22/10, 22/43/40/22/10, 22/42/41/22/10, 22/43/41/22/10, 22/40/42/22/10, 22/41/42/22/10, 22/43/42/22/10, 22/42/43/22/10, 22/43/43/22/10, 22/40/41/22/10, 22/41/41/22/10</t>
    <phoneticPr fontId="3"/>
  </si>
  <si>
    <t>22/10/10/22/40, 22/10/10/22/41, 22/10/10/22/42, 22/10/10/22/43</t>
    <phoneticPr fontId="3"/>
  </si>
  <si>
    <t>22/10/10/22/10</t>
    <phoneticPr fontId="3"/>
  </si>
  <si>
    <t>最適化条件</t>
    <rPh sb="0" eb="3">
      <t>サイテキカ</t>
    </rPh>
    <rPh sb="3" eb="5">
      <t>ジョウケン</t>
    </rPh>
    <phoneticPr fontId="3"/>
  </si>
  <si>
    <t>最適化条件を満たすパターン</t>
    <phoneticPr fontId="3"/>
  </si>
  <si>
    <t>最適化条件を満たさないパターン</t>
    <phoneticPr fontId="3"/>
  </si>
  <si>
    <t>21/20/20/22/40, 21/20/20/22/41, 21/20/20/22/42, 21/20/20/22/43, 21/20/21/22/40, 21/20/21/22/41, 21/20/21/22/42, 21/20/21/22/43, 21/21/20/22/40, 21/21/20/22/41, 21/21/20/22/42, 21/21/20/22/43, 21/21/21/22/40, 21/21/21/22/41, 21/21/21/22/42, 21/21/21/22/43</t>
    <phoneticPr fontId="3"/>
  </si>
  <si>
    <t>[21/20/20/22/40 21/20/20/22/41 21/20/20/22/42 21/20/20/22/43 21/20/21/22/40 21/20/21/22/41 21/20/21/22/42 21/20/21/22/43 21/21/20/22/40 21/21/20/22/41 21/21/20/22/42 21/21/20/22/43 21/21/21/22/40 21/21/21/22/41 21/21/21/22/42 21/21/21/22/43]</t>
    <phoneticPr fontId="3"/>
  </si>
  <si>
    <t>・入力した座標パターンに対応した期待値が取得できること
・エラーインスタンスが返却されていないこと</t>
  </si>
  <si>
    <t>・入力した座標パターンに対応した期待値が取得できること
・エラーインスタンスが返却されていないこと</t>
    <phoneticPr fontId="3"/>
  </si>
  <si>
    <t>変換元として入力する"拡張空間ID"、"変換後の水平/垂直方向精度"及び、精度変換時に取得される期待値を以下に記載する。</t>
    <rPh sb="0" eb="3">
      <t>ヘンカンモト</t>
    </rPh>
    <rPh sb="6" eb="8">
      <t>ニュウリョク</t>
    </rPh>
    <rPh sb="11" eb="13">
      <t>カクチョウ</t>
    </rPh>
    <rPh sb="13" eb="15">
      <t>クウカン</t>
    </rPh>
    <rPh sb="20" eb="22">
      <t>ヘンカン</t>
    </rPh>
    <rPh sb="22" eb="23">
      <t>ゴ</t>
    </rPh>
    <rPh sb="24" eb="26">
      <t>スイヘイ</t>
    </rPh>
    <rPh sb="27" eb="33">
      <t>スイチョクホウコウセイド</t>
    </rPh>
    <rPh sb="34" eb="35">
      <t>オヨ</t>
    </rPh>
    <rPh sb="37" eb="42">
      <t>セイドヘンカンジ</t>
    </rPh>
    <rPh sb="43" eb="45">
      <t>シュトク</t>
    </rPh>
    <rPh sb="48" eb="51">
      <t>キタイアタイ</t>
    </rPh>
    <rPh sb="52" eb="54">
      <t>イカ</t>
    </rPh>
    <rPh sb="55" eb="57">
      <t>キサイ</t>
    </rPh>
    <phoneticPr fontId="3"/>
  </si>
  <si>
    <t>試験実施時は以下に記載する入力値をAPIの引数に入力し、取得された値が期待値と同じであることを確認する。</t>
  </si>
  <si>
    <t>変換元として入力する"空間ID"、"変換後の水平/垂直方向精度"及び、精度変換時に取得される期待値を以下に記載する。</t>
    <rPh sb="0" eb="3">
      <t>ヘンカンモト</t>
    </rPh>
    <rPh sb="6" eb="8">
      <t>ニュウリョク</t>
    </rPh>
    <rPh sb="11" eb="13">
      <t>クウカン</t>
    </rPh>
    <rPh sb="18" eb="20">
      <t>ヘンカン</t>
    </rPh>
    <rPh sb="20" eb="21">
      <t>ゴ</t>
    </rPh>
    <rPh sb="22" eb="24">
      <t>スイヘイ</t>
    </rPh>
    <rPh sb="25" eb="31">
      <t>スイチョクホウコウセイド</t>
    </rPh>
    <rPh sb="32" eb="33">
      <t>オヨ</t>
    </rPh>
    <rPh sb="35" eb="40">
      <t>セイドヘンカンジ</t>
    </rPh>
    <rPh sb="41" eb="43">
      <t>シュトク</t>
    </rPh>
    <rPh sb="46" eb="49">
      <t>キタイアタイ</t>
    </rPh>
    <rPh sb="50" eb="52">
      <t>イカ</t>
    </rPh>
    <rPh sb="53" eb="55">
      <t>キサイ</t>
    </rPh>
    <phoneticPr fontId="3"/>
  </si>
  <si>
    <t>22/40/40/40, 22/41/40/40, 22/42/40/40, 22/43/40/40, 22/40/40/41, 22/41/40/41, 22/42/40/41, 22/43/40/41, 22/40/40/42, 22/41/40/42, 22/42/40/42, 22/43/40/42, 22/40/40/43, 22/41/40/43, 22/42/40/43, 22/43/40/43, 22/40/41/40, 22/41/41/40, 22/42/41/40, 22/43/41/40, 22/40/41/41, 22/41/41/41, 22/42/41/41, 22/43/41/41, 22/40/41/42, 22/41/41/42, 22/42/41/42, 22/43/41/42, 22/40/41/43, 22/41/41/43, 22/42/41/43, 22/43/41/43, 22/40/42/40, 22/41/42/40, 22/42/42/40, 22/43/42/40, 22/40/42/41, 22/41/42/41, 22/42/42/41, 22/43/42/41, 22/40/42/42, 22/41/42/42, 22/42/42/42, 22/43/42/42, 22/40/42/43, 22/41/42/43, 22/42/42/43, 22/43/42/43, 22/40/43/40, 22/41/43/40, 22/42/43/40, 22/43/43/40, 22/40/43/41, 22/41/43/41, 22/42/43/41, 22/43/43/41, 22/40/43/42, 22/41/43/42, 22/42/43/42, 22/43/43/42, 22/40/43/43, 22/41/43/43, 22/42/43/43, 22/43/43/43</t>
    <phoneticPr fontId="3"/>
  </si>
  <si>
    <t>[20/10/10/10]</t>
  </si>
  <si>
    <t>[20/10/10/10]</t>
    <phoneticPr fontId="3"/>
  </si>
  <si>
    <t>20/10/10/10</t>
    <phoneticPr fontId="3"/>
  </si>
  <si>
    <t>21/20/20/20, 21/21/20/20, 21/20/20/21, 21/21/20/21, 21/20/21/20, 21/21/21/20, 21/20/21/21, 21/21/21/21</t>
    <phoneticPr fontId="3"/>
  </si>
  <si>
    <t>[21/20/20/20 21/21/20/20 21/20/20/21 21/21/20/21 21/20/21/20 21/21/21/20 21/20/21/21 21/21/21/21]</t>
    <phoneticPr fontId="3"/>
  </si>
  <si>
    <t>21/20/21/21/20, 21/20/21/21/21, 21/21/21/21/20, 21/21/21/21/21, 21/20/20/21/20, 21/20/20/21/21, 21/21/20/21/20, 21/21/20/21/21</t>
    <phoneticPr fontId="3"/>
  </si>
  <si>
    <t>21/20/21/21/20, 21/20/21/21/21, 21/21/21/21/20, 21/21/21/21/21, 21/20/20/21/20, 22/40/41/22/42, 22/40/41/22/43, 22/41/41/22/42, 22/41/41/22/43, 22/40/40/22/42, 22/40/40/22/43, 22/41/40/22/42, 22/41/40/22/43, 21/21/20/22/40, 21/21/20/22/41, 22/43/41/21/21, 22/42/40/21/21, 22/43/40/21/21, 22/42/41/21/21</t>
    <phoneticPr fontId="3"/>
  </si>
  <si>
    <t>21/20/21/21/20, 21/20/21/21/21, 21/21/21/21/20, 21/21/21/21/21, 21/20/20/21/20, 21/21/20/21/20, 21/21/20/21/21</t>
    <phoneticPr fontId="3"/>
  </si>
  <si>
    <t>[21/20/21/21/20 21/20/21/21/21 21/21/21/21/20 21/21/21/21/21 21/20/20/21/20 21/21/20/21/20 21/21/20/21/21]</t>
    <phoneticPr fontId="3"/>
  </si>
  <si>
    <t>21/20/21/21/20, 21/20/21/21/21, 21/21/21/21/20, 21/21/21/21/21, 21/20/20/21/20, 22/40/41/22/42, 22/40/41/22/43, 22/41/41/22/42, 22/41/41/22/43, 22/40/40/22/42, 22/40/40/22/43, 22/41/40/22/42, 22/41/40/22/43, 21/21/20/22/40, 21/21/20/22/41, 22/43/41/21/21, 22/42/40/21/21, 22/43/40/21/21</t>
    <phoneticPr fontId="3"/>
  </si>
  <si>
    <t>[21/20/21/21/20 21/20/21/21/21 21/21/21/21/20 21/21/21/21/21 21/20/20/21/20 22/40/41/22/42 22/40/41/22/43 22/41/41/22/42 22/41/41/22/43 22/40/40/22/42 22/40/40/22/43 22/41/40/22/42 22/41/40/22/43 21/21/20/22/40 21/21/20/22/41 22/43/41/21/21 22/42/40/21/21 22/43/40/21/21]</t>
    <phoneticPr fontId="3"/>
  </si>
  <si>
    <t>・以下の拡張空間IDが取得できること
　[20/10/10/20/10
　 21/20/21/21/22
　 21/20/21/21/23
　 21/21/21/21/22
　 21/21/21/21/23
　 21/20/20/21/22
　 21/20/20/21/23
　 21/21/20/21/22]
・エラーインスタンスが返却されていないこと</t>
    <rPh sb="4" eb="6">
      <t>カクチョウ</t>
    </rPh>
    <phoneticPr fontId="3"/>
  </si>
  <si>
    <t>・以下の拡張空間IDが取得できること
　[20/10/10/20/10
　 19/5/5/19/5]
・エラーインスタンスが返却されていないこと</t>
    <rPh sb="4" eb="6">
      <t>カクチョウ</t>
    </rPh>
    <phoneticPr fontId="3"/>
  </si>
  <si>
    <t>21/20/20/21, 21/21/20/21, 21/20/21/21, 21/21/21/21, 21/20/20/20, 21/21/20/20, 21/20/21/20, 21/21/21/20</t>
    <phoneticPr fontId="3"/>
  </si>
  <si>
    <t>21/20/20/21, 21/21/20/21, 21/20/21/21, 21/21/21/21, 21/20/20/20, 21/21/20/20, 21/20/21/20, 22/42/43/41, 22/43/43/41, 22/42/42/40, 22/43/42/40, 22/42/43/40, 22/43/43/40, 22/42/42/41, 22/43/42/41</t>
    <phoneticPr fontId="3"/>
  </si>
  <si>
    <t>21/20/20/21, 21/21/20/21, 21/20/21/21, 21/21/21/21, 21/20/20/20, 21/21/20/20, 21/20/21/20, 21/21/21/20, 22/42/43/41, 22/43/43/41, 22/42/42/40, 22/43/42/40, 22/42/43/40, 22/43/43/40, 22/42/42/41, 22/43/42/41</t>
    <phoneticPr fontId="3"/>
  </si>
  <si>
    <t>21/20/20/21, 21/21/20/21, 21/20/21/21, 21/21/21/21, 21/20/20/20, 21/21/20/20, 21/20/21/20</t>
    <phoneticPr fontId="3"/>
  </si>
  <si>
    <t>[21/20/20/21 21/21/20/21 21/20/21/21 21/21/21/21 21/20/20/20 21/21/20/20 21/20/21/20 22/42/43/41 22/43/43/41 22/42/42/40 22/43/42/40 22/42/43/40 22/43/43/40 22/42/42/41]</t>
    <phoneticPr fontId="3"/>
  </si>
  <si>
    <t>21/20/20/21, 21/21/20/21, 21/20/21/21, 21/21/21/21, 21/20/20/20, 21/21/20/20, 21/20/21/20, 22/42/43/41, 22/43/43/41, 22/42/42/40, 22/43/42/40, 22/42/43/40, 22/43/43/40, 22/42/42/41</t>
    <phoneticPr fontId="3"/>
  </si>
  <si>
    <t>[21/20/20/21 21/21/20/21 21/20/21/21 21/21/21/21 21/20/20/20 21/21/20/20 21/20/21/20]</t>
    <phoneticPr fontId="3"/>
  </si>
  <si>
    <t>21/20/21/21/20, 21/20/21/21/21, 21/21/21/21/20, 21/21/21/21/21, 21/20/20/21/20, 22/40/41/22/42, 22/40/41/22/43, 22/41/41/22/42, 22/41/41/22/43, 22/40/40/22/42, 22/40/40/22/43, 22/41/40/22/42, 22/41/40/22/43, 21/21/20/22/40, 21/21/20/22/41, 22/43/41/21/21, 22/42/40/21/21, 22/43/40/21/21, 22/42/41/21/21, 21/21/20/21/20</t>
    <phoneticPr fontId="3"/>
  </si>
  <si>
    <t>21/20/21/21/21, 21/21/21/21/20, 21/21/21/21/21, 21/20/20/21/20, 22/40/41/22/42, 22/40/41/22/43, 22/41/41/22/42, 22/41/41/22/43, 22/40/40/22/42, 22/40/40/22/43, 22/41/40/22/42, 22/41/40/22/43, 21/21/20/22/40, 21/21/20/22/41, 22/43/41/21/21, 22/42/40/21/21, 22/43/40/21/21, 22/42/41/21/21, 21/21/20/21/20</t>
    <phoneticPr fontId="3"/>
  </si>
  <si>
    <t>[21/20/21/21/21 21/21/21/21/20 21/21/21/21/21 21/20/20/21/20 22/40/41/22/42 22/40/41/22/43 22/41/41/22/42 22/41/41/22/43 22/40/40/22/42 22/40/40/22/43 22/41/40/22/42 22/41/40/22/43 21/21/20/22/40 21/21/20/22/41 22/43/41/21/21 22/42/40/21/21 22/43/40/21/21 22/42/41/21/21 21/21/20/21/20]</t>
    <phoneticPr fontId="3"/>
  </si>
  <si>
    <t>21/21/20/21, 21/20/21/21, 21/21/21/21, 21/20/20/20, 21/21/20/20, 21/20/21/20, 21/21/21/20, 22/42/43/41, 22/43/43/41, 22/42/42/40, 22/43/42/40, 22/42/43/40, 22/43/43/40, 22/42/42/41, 22/43/42/41</t>
    <phoneticPr fontId="3"/>
  </si>
  <si>
    <t>[21/21/20/21 21/20/21/21 21/21/21/21 21/20/20/20 21/21/20/20 21/20/21/20 21/21/21/20 22/42/43/41 22/43/43/41 22/42/42/40 22/43/42/40 22/42/43/40 22/43/43/40 22/42/42/41 22/43/42/41]</t>
    <phoneticPr fontId="3"/>
  </si>
  <si>
    <t>最適化後の拡張空間ID内における、最適化前の拡張空間IDの組み合わせ関する試験用データ</t>
    <rPh sb="0" eb="3">
      <t>サイテキカ</t>
    </rPh>
    <rPh sb="3" eb="4">
      <t>アト</t>
    </rPh>
    <rPh sb="5" eb="9">
      <t>カクチョウクウカン</t>
    </rPh>
    <rPh sb="11" eb="12">
      <t>ナイ</t>
    </rPh>
    <rPh sb="17" eb="21">
      <t>サイテキカマエ</t>
    </rPh>
    <rPh sb="22" eb="26">
      <t>カクチョウクウカン</t>
    </rPh>
    <rPh sb="29" eb="30">
      <t>ク</t>
    </rPh>
    <rPh sb="31" eb="32">
      <t>ア</t>
    </rPh>
    <rPh sb="34" eb="35">
      <t>カン</t>
    </rPh>
    <rPh sb="37" eb="40">
      <t>シケンヨウ</t>
    </rPh>
    <phoneticPr fontId="3"/>
  </si>
  <si>
    <t>21/20/20/21/20, 21/20/20/21/21, 21/21/20/21/20, 21/21/20/21/21, 21/20/21/21/20, 21/20/21/21/21, 21/21/21/21/20, 21/21/21/21/21, 20/10/10/21/20, 20/10/10/21/21</t>
    <phoneticPr fontId="3"/>
  </si>
  <si>
    <t>[20/10/10/20/10]</t>
    <phoneticPr fontId="3"/>
  </si>
  <si>
    <t>[20/10/10/20/10 20/11/11/20/10]</t>
    <phoneticPr fontId="3"/>
  </si>
  <si>
    <t>21/20/20/21/20, 21/20/20/21/21, 21/21/20/21/20, 21/21/20/21/21, 21/20/21/21/20, 21/20/21/21/21, 21/21/21/21/20, 21/21/21/21/21, 20/10/10/21/20, 20/10/10/21/21, 21/23/23/21/20, 21/23/23/21/21, 21/22/22/21/20, 21/22/22/21/21, 21/23/22/21/20, 21/23/22/21/21, 21/22/23/21/20, 21/22/23/21/21</t>
    <phoneticPr fontId="3"/>
  </si>
  <si>
    <t>21/20/20/21/20, 21/20/20/21/21, 21/21/20/21/20, 21/21/20/21/21, 21/20/21/21/20, 21/20/21/21/21, 21/21/21/21/20, 21/21/21/21/21</t>
    <phoneticPr fontId="3"/>
  </si>
  <si>
    <t>21/20/20/21/20, 21/20/20/21/21, 21/21/20/21/20, 21/21/20/21/21, 21/20/21/21/20, 21/20/21/21/21, 21/21/21/21/20, 21/21/21/21/21, 21/23/23/21/20, 21/23/23/21/21, 21/22/22/21/20, 21/22/22/21/21, 21/23/22/21/20, 21/23/22/21/21, 21/22/23/21/20, 21/22/23/21/21</t>
    <phoneticPr fontId="3"/>
  </si>
  <si>
    <t>1. 引数に以下を指定して、integrate.MergeSpatialIdsを呼び出す。
　"【別紙1】最適化後の精度パターン"シート"空間ID試験データ"のNo.1の「変換前空間ID」「変換後水平方向精度」「変換後水平方向精度」</t>
  </si>
  <si>
    <t>1. 引数に以下を指定して、integrate.MergeSpatialIdsを呼び出す。
　"【別紙1】最適化後の精度パターン"シート"空間ID試験データ"のNo.2の「変換前空間ID」「変換後水平方向精度」「変換後水平方向精度」</t>
  </si>
  <si>
    <t>1. 引数に以下を指定して、integrate.MergeSpatialIdsを呼び出す。
　"【別紙1】最適化後の精度パターン"シート"空間ID試験データ"のNo.3の「変換前空間ID」「変換後水平方向精度」「変換後水平方向精度」</t>
  </si>
  <si>
    <t>1. 引数に以下を指定して、integrate.MergeSpatialIdsを呼び出す。
　"【別紙2】最適化後のボクセル内パターン"シート"空間ID試験データ"のNo.2の「変換前空間ID」「変換後水平方向精度」「変換後水平方向精度」</t>
  </si>
  <si>
    <t>1. 引数に以下を指定して、integrate.MergeSpatialIdsを呼び出す。
　"【別紙2】最適化後のボクセル内パターン"シート"空間ID試験データ"のNo.3の「変換前空間ID」「変換後水平方向精度」「変換後水平方向精度」</t>
  </si>
  <si>
    <t>1. 引数に以下を指定して、integrate.MergeSpatialIdsを呼び出す。
　"【別紙2】最適化後のボクセル内パターン"シート"空間ID試験データ"のNo.4の「変換前空間ID」「変換後水平方向精度」「変換後水平方向精度」</t>
  </si>
  <si>
    <t>1. 引数に以下を指定して、integrate.MergeSpatialIdsを呼び出す。
　"【別紙2】最適化後のボクセル内パターン"シート"空間ID試験データ"のNo.5の「変換前空間ID」「変換後水平方向精度」「変換後水平方向精度」</t>
  </si>
  <si>
    <t>1. 引数に以下を指定して、integrate.MergeSpatialIdsを呼び出す。
　"【別紙2】最適化後のボクセル内パターン"シート"空間ID試験データ"のNo.6の「変換前空間ID」「変換後水平方向精度」「変換後水平方向精度」</t>
  </si>
  <si>
    <t>1. 引数に以下を指定して、integrate.MergeExtendedSpatialIdsを呼び出す。
　拡張空間ID：10/11/11/10/11, 10/10/10/10
　水平方向精度： 正常な任意の値
　垂直方向精度： 正常な任意の値</t>
  </si>
  <si>
    <t>1. 引数に以下を指定して、integrate.MergeExtendedSpatialIdsを呼び出す。
　拡張空間ID：10/11/11/10/11, 10/10/10/10/10/10
　水平方向精度： 正常な任意の値
　垂直方向精度： 正常な任意の値</t>
  </si>
  <si>
    <t>1. 引数に以下を指定して、integrate.MergeExtendedSpatialIdsを呼び出す。
　拡張空間ID：10/10/10/10/10/10, 10|11|11|10|11
　水平方向精度： 正常な任意の値
　垂直方向精度： 正常な任意の値</t>
  </si>
  <si>
    <t>1. 引数に以下を指定して、integrate.MergeExtendedSpatialIdsを呼び出す。
　拡張空間ID：10/10/10/10/10, /11/11/10/11
　水平方向精度： 正常な任意の値
　垂直方向精度： 正常な任意の値</t>
  </si>
  <si>
    <t>1. 引数に以下を指定して、integrate.MergeExtendedSpatialIdsを呼び出す。
　拡張空間ID：10/10/10/10/10, 10/11/11//11
　水平方向精度： 正常な任意の値
　垂直方向精度： 正常な任意の値</t>
  </si>
  <si>
    <t>1. 引数に以下を指定して、integrate.MergeExtendedSpatialIdsを呼び出す。
　拡張空間ID：10/10/10/10/10, 10//11/10/11
　水平方向精度： 正常な任意の値
　垂直方向精度： 正常な任意の値</t>
  </si>
  <si>
    <t>1. 引数に以下を指定して、integrate.MergeExtendedSpatialIdsを呼び出す。
　拡張空間ID：10/10/10/10/10, 10/11//10/11
　水平方向精度： 正常な任意の値
　垂直方向精度： 正常な任意の値</t>
  </si>
  <si>
    <t>1. 引数に以下を指定して、integrate.MergeExtendedSpatialIdsを呼び出す。
　拡張空間ID：10/10/10/10/10, 10/11/11/10/
　水平方向精度： 正常な任意の値
　垂直方向精度： 正常な任意の値</t>
  </si>
  <si>
    <t>1. 引数に以下を指定して、integrate.MergeExtendedSpatialIdsを呼び出す。
　"【別紙1】最適化後の精度パターン"シート"拡張空間ID試験データ"のNo.1の「変換前拡張空間ID」「変換後水平方向精度」「変換後水平方向精度」</t>
    <rPh sb="61" eb="64">
      <t>サイテキカ</t>
    </rPh>
    <rPh sb="64" eb="65">
      <t>ゴ</t>
    </rPh>
    <phoneticPr fontId="3"/>
  </si>
  <si>
    <t>1. 引数に以下を指定して、integrate.MergeExtendedSpatialIdsを呼び出す。
　"【別紙1】最適化後の精度パターン"シート"拡張空間ID試験データ"のNo.2の「変換前拡張空間ID」「変換後水平方向精度」「変換後水平方向精度」</t>
    <rPh sb="61" eb="64">
      <t>サイテキカ</t>
    </rPh>
    <rPh sb="64" eb="65">
      <t>ゴ</t>
    </rPh>
    <phoneticPr fontId="3"/>
  </si>
  <si>
    <t>1. 引数に以下を指定して、integrate.MergeExtendedSpatialIdsを呼び出す。
　"【別紙1】最適化後の精度パターン"シート"拡張空間ID試験データ"のNo.3の「変換前拡張空間ID」「変換後水平方向精度」「変換後水平方向精度」</t>
    <rPh sb="61" eb="64">
      <t>サイテキカ</t>
    </rPh>
    <rPh sb="64" eb="65">
      <t>ゴ</t>
    </rPh>
    <phoneticPr fontId="3"/>
  </si>
  <si>
    <t>1. 引数に以下を指定して、integrate.MergeExtendedSpatialIdsを呼び出す。
　"【別紙1】最適化後の精度パターン"シート"拡張空間ID試験データ"のNo.4の「変換前拡張空間ID」「変換後水平方向精度」「変換後水平方向精度」</t>
    <rPh sb="61" eb="64">
      <t>サイテキカ</t>
    </rPh>
    <rPh sb="64" eb="65">
      <t>ゴ</t>
    </rPh>
    <phoneticPr fontId="3"/>
  </si>
  <si>
    <t>1. 引数に以下を指定して、integrate.MergeExtendedSpatialIdsを呼び出す。
　"【別紙1】最適化後の精度パターン"シート"拡張空間ID試験データ"のNo.5の「変換前拡張空間ID」「変換後水平方向精度」「変換後水平方向精度」</t>
    <rPh sb="61" eb="64">
      <t>サイテキカ</t>
    </rPh>
    <rPh sb="64" eb="65">
      <t>ゴ</t>
    </rPh>
    <phoneticPr fontId="3"/>
  </si>
  <si>
    <t>1. 引数に以下を指定して、integrate.MergeExtendedSpatialIdsを呼び出す。
　"【別紙1】最適化後の精度パターン"シート"拡張空間ID試験データ"のNo.6の「変換前拡張空間ID」「変換後水平方向精度」「変換後水平方向精度」</t>
    <rPh sb="61" eb="64">
      <t>サイテキカ</t>
    </rPh>
    <rPh sb="64" eb="65">
      <t>ゴ</t>
    </rPh>
    <phoneticPr fontId="3"/>
  </si>
  <si>
    <t>1. 引数に以下を指定して、integrate.MergeExtendedSpatialIdsを呼び出す。
　"【別紙1】最適化後の精度パターン"シート"拡張空間ID試験データ"のNo.7の「変換前拡張空間ID」「変換後水平方向精度」「変換後水平方向精度」</t>
    <rPh sb="61" eb="64">
      <t>サイテキカ</t>
    </rPh>
    <rPh sb="64" eb="65">
      <t>ゴ</t>
    </rPh>
    <phoneticPr fontId="3"/>
  </si>
  <si>
    <t>1. 引数に以下を指定して、integrate.MergeExtendedSpatialIdsを呼び出す。
　"【別紙1】最適化後の精度パターン"シート"拡張空間ID試験データ"のNo.8の「変換前拡張空間ID」「変換後水平方向精度」「変換後水平方向精度」</t>
    <rPh sb="61" eb="64">
      <t>サイテキカ</t>
    </rPh>
    <rPh sb="64" eb="65">
      <t>ゴ</t>
    </rPh>
    <phoneticPr fontId="3"/>
  </si>
  <si>
    <t>1. 引数に以下を指定して、integrate.MergeExtendedSpatialIdsを呼び出す。
　"【別紙1】最適化後の精度パターン"シート"拡張空間ID試験データ"のNo.9の「変換前拡張空間ID」「変換後水平方向精度」「変換後水平方向精度」</t>
    <rPh sb="61" eb="64">
      <t>サイテキカ</t>
    </rPh>
    <rPh sb="64" eb="65">
      <t>ゴ</t>
    </rPh>
    <phoneticPr fontId="3"/>
  </si>
  <si>
    <t>1. 引数に以下を指定して、integrate.MergeExtendedSpatialIdsを呼び出す。
　"【別紙3】最適化後のボクセルが重複パターン"シート"拡張空間ID試験データ"のNo.2の「変換前拡張空間ID」「変換後水平方向精度」「変換後水平方向精度」</t>
  </si>
  <si>
    <t>1. 引数に以下を指定して、integrate.MergeExtendedSpatialIdsを呼び出す。
　"【別紙3】最適化後のボクセルが重複パターン"シート"拡張空間ID試験データ"のNo.3の「変換前拡張空間ID」「変換後水平方向精度」「変換後水平方向精度」</t>
  </si>
  <si>
    <t>1. 引数に以下を指定して、integrate.MergeExtendedSpatialIdsを呼び出す。
　"【別紙3】最適化後のボクセルが重複パターン"シート"拡張空間ID試験データ"のNo.4の「変換前拡張空間ID」「変換後水平方向精度」「変換後水平方向精度」</t>
  </si>
  <si>
    <t>1. 引数に以下を指定して、integrate.MergeExtendedSpatialIdsを呼び出す。
　"【別紙3】最適化後のボクセルが重複パターン"シート"拡張空間ID試験データ"のNo.1の「変換前拡張空間ID」「変換後水平方向精度」「変換後水平方向精度」</t>
  </si>
  <si>
    <t>1. 引数に以下を指定して、integrate.MergeExtendedSpatialIdsを呼び出す。
　"【別紙5】最適化後の精度パターン"シート"拡張空間ID試験データ"のNo.1の「変換前拡張空間ID」「変換後水平方向精度」「変換後水平方向精度」</t>
  </si>
  <si>
    <t>・以下の空間IDが取得できること
　[20/10/10/10
　 19/5/5/5]
・エラーインスタンスが返却されていないこと</t>
    <rPh sb="4" eb="6">
      <t>クウカン</t>
    </rPh>
    <phoneticPr fontId="3"/>
  </si>
  <si>
    <t>・以下の空間IDが取得できること
　[20/10/10/10
　 21/22/20/21
　 21/23/20/21
　 21/22/21/21
　 21/23/21/21
　 21/22/20/20
　 21/23/20/20
　 21/22/21/20]
・エラーインスタンスが返却されていないこと</t>
  </si>
  <si>
    <t>1. 引数に以下を指定して、integrate.MergeSpatialIdsを呼び出す。
　"【別紙3】最適化後のボクセルが重複パターン"シート"空間ID試験データ"のNo.1の「変換前空間ID」「変換後水平方向精度」「変換後水平方向精度」</t>
  </si>
  <si>
    <t>1. 引数に以下を指定して、integrate.MergeSpatialIdsを呼び出す。
　"【別紙3】最適化後のボクセルが重複パターン"シート"空間ID試験データ"のNo.4の「変換前空間ID」「変換後水平方向精度」「変換後水平方向精度」</t>
  </si>
  <si>
    <t>1. 引数に以下を指定して、integrate.MergeSpatialIdsを呼び出す。
　"【別紙3】最適化後のボクセルが重複パターン"シート"空間ID試験データ"のNo.3の「変換前空間ID」「変換後水平方向精度」「変換後水平方向精度」</t>
  </si>
  <si>
    <t>1. 引数に以下を指定して、integrate.MergeSpatialIdsを呼び出す。
　"【別紙3】最適化後のボクセルが重複パターン"シート"空間ID試験データ"のNo.2の「変換前空間ID」「変換後水平方向精度」「変換後水平方向精度」</t>
  </si>
  <si>
    <t>[20/10/10/10]</t>
    <phoneticPr fontId="3"/>
  </si>
  <si>
    <t>[20/10/10/10 20/10/11/11]</t>
  </si>
  <si>
    <t>[20/10/10/10 20/10/11/11]</t>
    <phoneticPr fontId="3"/>
  </si>
  <si>
    <t>21/20/20/20, 21/21/20/20, 21/20/21/20, 21/21/21/20, 21/20/20/21, 21/21/20/21, 21/20/21/21, 21/21/21/21</t>
    <phoneticPr fontId="3"/>
  </si>
  <si>
    <t>最適化後の重複有無</t>
    <rPh sb="0" eb="4">
      <t>サイテキカゴ</t>
    </rPh>
    <rPh sb="5" eb="9">
      <t>チョウフクウム</t>
    </rPh>
    <phoneticPr fontId="3"/>
  </si>
  <si>
    <t>最適化後の重複有無</t>
    <phoneticPr fontId="3"/>
  </si>
  <si>
    <t>重複あり</t>
    <rPh sb="0" eb="2">
      <t>チョウフク</t>
    </rPh>
    <phoneticPr fontId="3"/>
  </si>
  <si>
    <t>重複なし</t>
    <rPh sb="0" eb="2">
      <t>チョウフク</t>
    </rPh>
    <phoneticPr fontId="3"/>
  </si>
  <si>
    <t>21/20/20/20, 21/21/20/20, 21/20/21/20, 21/21/21/20, 21/20/20/21, 21/21/20/21, 21/20/21/21, 21/21/21/21, 22/42/40/41, 22/40/42/41, 22/40/40/41, 22/40/41/43, 22/43/41/40, 22/40/43/40, 22/41/41/41, 22/40/42/42, 22/40/40/43, 22/43/41/43, 22/42/43/43, 22/41/40/40, 22/40/43/41, 22/40/41/40, 22/41/42/42, 22/42/42/42, 22/40/43/42, 22/43/43/40, 22/40/41/41, 22/41/40/42, 22/43/41/42, 22/43/42/42, 22/43/42/40, 22/42/42/41, 22/43/41/41, 22/41/42/41, 22/42/40/42, 22/42/41/42, 22/42/43/42, 22/42/42/43, 22/40/40/40, 22/43/40/40, 22/41/41/42, 22/41/40/43, 22/43/40/43, 22/41/41/43, 22/41/42/43, 22/40/42/40, 22/42/43/41, 22/43/40/41, 22/43/40/42, 22/40/42/43, 22/43/42/43, 22/40/43/43, 22/41/41/40, 22/41/42/40, 22/41/43/42, 22/43/43/42, 22/42/42/40, 22/41/40/41, 22/41/43/41, 22/40/40/42, 22/42/41/43, 22/41/43/40, 22/42/41/41, 22/42/40/40, 22/42/43/40, 22/42/40/43, 22/41/43/43, 22/42/41/40, 22/43/43/41, 22/43/43/43, 22/43/42/41, 22/40/41/42</t>
    <phoneticPr fontId="3"/>
  </si>
  <si>
    <t>21/20/20/20, 21/21/20/20, 21/20/21/20, 21/21/21/20, 21/20/20/21, 21/21/20/21, 21/20/21/21, 21/21/21/21, 22/42/40/41, 22/40/42/41, 22/40/40/41, 22/40/41/43, 22/43/41/40, 22/40/43/40, 22/41/41/41, 22/40/42/42, 22/40/40/43, 22/43/41/43, 22/42/43/43, 22/41/40/40, 22/40/43/41, 22/40/41/40, 22/41/42/42, 22/42/42/42, 22/40/43/42, 22/43/43/40, 22/40/41/41, 22/41/40/42, 22/43/41/42, 22/43/42/42, 22/43/42/40, 22/42/42/41, 22/43/41/41, 22/41/42/41, 22/42/40/42, 22/42/41/42, 22/42/43/42, 22/42/42/43, 22/40/40/40, 22/43/40/40, 22/41/41/42, 22/41/40/43, 22/43/40/43, 22/41/41/43, 22/41/42/43, 22/40/42/40, 22/42/43/41, 22/43/40/41, 22/43/40/42, 22/40/42/43, 22/43/42/43, 22/40/43/43, 22/41/41/40, 22/41/42/40, 22/41/43/42, 22/43/43/42, 22/42/42/40, 22/41/40/41, 22/41/43/41, 22/40/40/42, 22/42/41/43, 22/41/43/40, 22/42/41/41, 22/42/40/40, 22/42/43/40, 22/42/40/43, 22/41/43/43, 22/42/41/40, 22/43/43/41, 22/43/43/43, 22/43/42/41, 22/40/41/42, 21/20/23/23, 21/21/23/23, 21/20/22/22, 21/21/22/22, 21/20/23/22, 21/21/23/22, 21/20/22/23, 21/21/22/23</t>
    <phoneticPr fontId="3"/>
  </si>
  <si>
    <t>21/20/20/20, 21/21/20/20, 21/20/21/20, 21/21/21/20, 21/20/20/21, 21/21/20/21, 21/20/21/21, 21/21/21/21, 21/20/23/23, 21/21/23/23, 21/20/22/22, 21/21/22/22, 21/20/23/22, 21/21/23/22, 21/20/22/23, 21/21/22/23</t>
    <phoneticPr fontId="3"/>
  </si>
  <si>
    <t>最適化後の拡張空間ID内における、最適化後の拡張空間IDの重複有無に関する試験用データ</t>
    <rPh sb="0" eb="3">
      <t>サイテキカ</t>
    </rPh>
    <rPh sb="3" eb="4">
      <t>アト</t>
    </rPh>
    <rPh sb="5" eb="9">
      <t>カクチョウクウカン</t>
    </rPh>
    <rPh sb="11" eb="12">
      <t>ナイ</t>
    </rPh>
    <rPh sb="17" eb="19">
      <t>サイテキ</t>
    </rPh>
    <rPh sb="19" eb="20">
      <t>カ</t>
    </rPh>
    <rPh sb="20" eb="21">
      <t>ゴ</t>
    </rPh>
    <rPh sb="22" eb="26">
      <t>カクチョウクウカン</t>
    </rPh>
    <rPh sb="29" eb="31">
      <t>チョウフク</t>
    </rPh>
    <rPh sb="31" eb="33">
      <t>ウム</t>
    </rPh>
    <rPh sb="34" eb="35">
      <t>カン</t>
    </rPh>
    <rPh sb="37" eb="40">
      <t>シケンヨウ</t>
    </rPh>
    <phoneticPr fontId="3"/>
  </si>
  <si>
    <t>1. 引数に以下を指定して、integrate.MergeSpatialIdsを呼び出す。
　空間ID：正常な任意の値
　精度：36</t>
    <rPh sb="61" eb="63">
      <t>セイド</t>
    </rPh>
    <phoneticPr fontId="3"/>
  </si>
  <si>
    <t>1. 引数に以下を指定して、integrate.MergeSpatialIdsを呼び出す。
　空間ID：正常な任意の値
　精度：-1</t>
    <rPh sb="61" eb="63">
      <t>セイド</t>
    </rPh>
    <phoneticPr fontId="3"/>
  </si>
  <si>
    <t>1. 引数に以下を指定して、integrate.MergeExtendedSpatialIdsを呼び出す。
　拡張空間ID：
　　["21/20/21/21/20",
　 　"21/20/21/21/21",
　　 "21/21/21/21/20",
　　 "21/21/21/21/21",
　　 "21/20/20/21/20",
　　 "21/20/20/21/21",
　　 "21/21/20/21/20",
　　 "21/21/20/21/21",
　　 "21/20/21/21/22",
　　 "21/20/21/21/23",
　　 "21/21/21/21/22",
　　 "21/21/21/21/23",
　　 "21/20/20/21/22",
　　 "21/20/20/21/23",
　　 "21/21/20/21/22"]
　水平方向精度：20
　垂直方向精度：20</t>
    <rPh sb="55" eb="59">
      <t>カクチョウクウカン</t>
    </rPh>
    <rPh sb="379" eb="385">
      <t>スイヘイホウコウセイド</t>
    </rPh>
    <phoneticPr fontId="3"/>
  </si>
  <si>
    <t>1. 引数に以下を指定して、integrate.MergeExtendedSpatialIdsを呼び出す。
　拡張空間ID：
　　["20/10/10/21/20",
　 　"20/10/10/21/21",
　 　"19/5/5/19/5"]
　水平方向精度：20
　垂直方向精度：20</t>
    <rPh sb="55" eb="59">
      <t>カクチョウクウカン</t>
    </rPh>
    <rPh sb="124" eb="130">
      <t>スイヘイホウコウセイド</t>
    </rPh>
    <phoneticPr fontId="3"/>
  </si>
  <si>
    <t>1. 引数に以下を指定して、integrate.MergeSpatialIdsを呼び出す。
　空間ID：
　　["21/20/20/21",
　　 "21/21/20/21",
　　 "21/20/21/21",
　　 "21/21/21/21",
　　 "21/20/20/20",
　　 "21/21/20/20",
　　 "21/20/21/20",
　　 "21/21/21/20",
　　 "21/22/20/21",
　　 "21/23/20/21",
　　 "21/22/21/21",
　　 "21/23/21/21",
　　 "21/22/20/20",
　　 "21/23/20/20",
　　 "21/22/21/20"]
　水平方向精度：20
　垂直方向精度：20</t>
  </si>
  <si>
    <t>1. 引数に以下を指定して、integrate.MergeSpatialIdsを呼び出す。
　空間ID：
　　["21/20/20/21",
　　 "21/21/20/21",
　　 "21/20/21/21",
　　 "21/21/21/21",
　　 "21/20/20/20",
　　 "21/21/20/20",
　　 "21/20/21/20",
　　 "21/21/21/20",
　　 "19/5/5/5"]
　水平方向精度：20
　垂直方向精度：20</t>
  </si>
  <si>
    <t>・以下のspatialIdErrorが返却されること
　- エラーコード：InputValueError
　- エラーメッセージ：入力チェックエラー</t>
  </si>
  <si>
    <t>1. 引数に以下を指定して、integrate.MergeSpatialIdsを呼び出す。
　空間ID：10/10/10/10, 10/11/10
　精度：正常な任意の値</t>
  </si>
  <si>
    <t>1. 引数に以下を指定して、integrate.MergeSpatialIdsを呼び出す。
　空間ID：10/10/10/10, 10/11/10/10/10
　精度：正常な任意の値</t>
    <rPh sb="81" eb="83">
      <t>セイド</t>
    </rPh>
    <phoneticPr fontId="3"/>
  </si>
  <si>
    <t>1. 引数に以下を指定して、integrate.MergeSpatialIdsを呼び出す。
　空間ID：10/10/10/10, 10|11|10|10
　精度：正常な任意の値</t>
    <rPh sb="78" eb="80">
      <t>セイド</t>
    </rPh>
    <phoneticPr fontId="3"/>
  </si>
  <si>
    <t>1. 引数に以下を指定して、integrate.MergeSpatialIdsを呼び出す。
　空間ID：10/10/10/10, /11/10/10
　精度：正常な任意の値</t>
    <rPh sb="76" eb="78">
      <t>セイド</t>
    </rPh>
    <phoneticPr fontId="3"/>
  </si>
  <si>
    <t>1. 引数に以下を指定して、integrate.MergeSpatialIdsを呼び出す。
　空間ID：10/10/10/10, 10/11//10
　精度：正常な任意の値</t>
    <rPh sb="76" eb="78">
      <t>セイド</t>
    </rPh>
    <phoneticPr fontId="3"/>
  </si>
  <si>
    <t>1. 引数に以下を指定して、integrate.MergeSpatialIdsを呼び出す。
　空間ID：10/10/10/10, 10/11/10/
　精度：正常な任意の値</t>
    <rPh sb="76" eb="78">
      <t>セイド</t>
    </rPh>
    <phoneticPr fontId="3"/>
  </si>
  <si>
    <t>1. 引数に以下を指定して、integrate.MergeSpatialIdsを呼び出す。
　空間ID：10/10/10/10, 10//10/10
　精度：正常な任意の値</t>
    <rPh sb="76" eb="78">
      <t>セイド</t>
    </rPh>
    <phoneticPr fontId="3"/>
  </si>
  <si>
    <t>最適化前の拡張空間ID内における精度に関する試験用データ</t>
    <rPh sb="0" eb="3">
      <t>サイテキカ</t>
    </rPh>
    <rPh sb="3" eb="4">
      <t>マエ</t>
    </rPh>
    <rPh sb="5" eb="9">
      <t>カクチョウクウカン</t>
    </rPh>
    <rPh sb="11" eb="12">
      <t>ナイ</t>
    </rPh>
    <rPh sb="16" eb="18">
      <t>セイド</t>
    </rPh>
    <rPh sb="19" eb="20">
      <t>カン</t>
    </rPh>
    <rPh sb="22" eb="25">
      <t>シケンヨウ</t>
    </rPh>
    <phoneticPr fontId="3"/>
  </si>
  <si>
    <t>35/1/0/35/1, 35/0/1/35/0, 35/0/1/35/1, 35/1/1/35/0, 35/1/1/35/1, 35/0/0/35/0, 35/0/0/35/1, 35/1/0/35/0</t>
    <phoneticPr fontId="3"/>
  </si>
  <si>
    <t>0/0/0/1/0, 0/0/0/1/1</t>
    <phoneticPr fontId="3"/>
  </si>
  <si>
    <t>[0/0/0/1/0 0/0/0/1/1]</t>
    <phoneticPr fontId="3"/>
  </si>
  <si>
    <t>1/0/0/0/0, 1/1/0/0/0, 1/0/1/0/0, 1/1/1/0/0</t>
    <phoneticPr fontId="3"/>
  </si>
  <si>
    <t>[1/0/0/0/0 1/1/0/0/0 1/0/1/0/0 1/1/1/0/0]</t>
    <phoneticPr fontId="3"/>
  </si>
  <si>
    <t>[35/0/0/34/0 35/1/0/34/0 35/0/1/34/0 35/1/1/34/0]</t>
    <phoneticPr fontId="3"/>
  </si>
  <si>
    <t>1. 引数に以下を指定して、integrate.MergeExtendedSpatialIdsを呼び出す。
　"【別紙4】最適化前の精度パターン"シート"拡張空間ID試験データ"のNo.1の「変換前拡張空間ID」「変換後水平方向精度」「変換後水平方向精度」</t>
    <phoneticPr fontId="3"/>
  </si>
  <si>
    <t>1. 引数に以下を指定して、integrate.MergeSpatialIdsを呼び出す。
　"【別紙4】最適化前の精度パターン"シート"空間ID試験データ"のNo.1の「変換前空間ID」「変換後水平方向精度」「変換後水平方向精度」</t>
    <phoneticPr fontId="3"/>
  </si>
  <si>
    <t>1. 引数に以下を指定して、integrate.MergeSpatialIdsを呼び出す。
　"【別紙4】最適化前の精度パターン"シート"空間ID試験データ"のNo.2の「変換前空間ID」「変換後水平方向精度」「変換後水平方向精度」</t>
    <phoneticPr fontId="3"/>
  </si>
  <si>
    <t>0/0/0/0</t>
    <phoneticPr fontId="3"/>
  </si>
  <si>
    <t>[0/0/0/0]</t>
    <phoneticPr fontId="3"/>
  </si>
  <si>
    <t>35/1/1/0, 35/0/0/1, 35/1/0/1, 35/0/1/1, 35/1/1/1, 35/0/0/0, 35/1/0/0, 35/0/1/0</t>
    <phoneticPr fontId="3"/>
  </si>
  <si>
    <t>[34/0/0/0]</t>
    <phoneticPr fontId="3"/>
  </si>
  <si>
    <t>1. 引数に以下を指定して、integrate.MergeExtendedSpatialIdsを呼び出す。
　"【別紙4】最適化前の精度パターン"シート"拡張空間ID試験データ"のNo.2の「変換前拡張空間ID」「変換後水平方向精度」「変換後水平方向精度」</t>
    <phoneticPr fontId="3"/>
  </si>
  <si>
    <t>1. 引数に以下を指定して、integrate.MergeExtendedSpatialIdsを呼び出す。
　"【別紙4】最適化前の精度パターン"シート"拡張空間ID試験データ"のNo.3の「変換前拡張空間ID」「変換後水平方向精度」「変換後水平方向精度」</t>
    <phoneticPr fontId="3"/>
  </si>
  <si>
    <t>1. 引数に以下を指定して、integrate.MergeExtendedSpatialIdsを呼び出す。
　"【別紙4】最適化前の精度パターン"シート"拡張空間ID試験データ"のNo.4の「変換前拡張空間ID」「変換後水平方向精度」「変換後水平方向精度」</t>
    <phoneticPr fontId="3"/>
  </si>
  <si>
    <t>最適化後の拡張空間ID内における精度に関する試験用データ</t>
    <rPh sb="0" eb="3">
      <t>サイテキカ</t>
    </rPh>
    <rPh sb="3" eb="4">
      <t>アト</t>
    </rPh>
    <rPh sb="5" eb="9">
      <t>カクチョウクウカン</t>
    </rPh>
    <rPh sb="11" eb="12">
      <t>ナイ</t>
    </rPh>
    <rPh sb="16" eb="18">
      <t>セイド</t>
    </rPh>
    <rPh sb="19" eb="20">
      <t>カン</t>
    </rPh>
    <rPh sb="22" eb="25">
      <t>シケンヨウ</t>
    </rPh>
    <phoneticPr fontId="3"/>
  </si>
  <si>
    <t>最適化後精度：0</t>
    <rPh sb="0" eb="2">
      <t>サイテキ</t>
    </rPh>
    <rPh sb="2" eb="3">
      <t>カ</t>
    </rPh>
    <rPh sb="3" eb="4">
      <t>ゴ</t>
    </rPh>
    <rPh sb="4" eb="6">
      <t>セイド</t>
    </rPh>
    <phoneticPr fontId="3"/>
  </si>
  <si>
    <t>最適化後精度：35</t>
    <rPh sb="0" eb="3">
      <t>サイテキカ</t>
    </rPh>
    <rPh sb="4" eb="6">
      <t>セイド</t>
    </rPh>
    <phoneticPr fontId="3"/>
  </si>
  <si>
    <t>34/0/0/34/0, 34/1/1/34/0</t>
    <phoneticPr fontId="3"/>
  </si>
  <si>
    <t>[0/0/0/1/0]</t>
    <phoneticPr fontId="3"/>
  </si>
  <si>
    <t>1/0/0/1/0, 1/1/0/1/0, 1/0/1/1/0, 1/1/1/1/0</t>
    <phoneticPr fontId="3"/>
  </si>
  <si>
    <t>1/0/0/1/0, 1/0/0/1/1</t>
    <phoneticPr fontId="3"/>
  </si>
  <si>
    <t>[1/0/0/0/0]</t>
    <phoneticPr fontId="3"/>
  </si>
  <si>
    <t>34/0/0/34/0, 34/0/0/34/1</t>
    <phoneticPr fontId="3"/>
  </si>
  <si>
    <t>[34/0/0/34/0 34/0/0/34/1]</t>
    <phoneticPr fontId="3"/>
  </si>
  <si>
    <t>[34/0/0/34/0 34/1/1/34/0]</t>
    <phoneticPr fontId="3"/>
  </si>
  <si>
    <t>1/1/1/0, 1/0/0/1, 1/1/0/1, 1/0/1/1, 1/1/1/1, 1/0/0/0, 1/1/0/0, 1/0/1/0</t>
    <phoneticPr fontId="3"/>
  </si>
  <si>
    <t>34/0/0/0, 34/1/1/1</t>
    <phoneticPr fontId="3"/>
  </si>
  <si>
    <t>[34/0/0/0 34/1/1/1]</t>
    <phoneticPr fontId="3"/>
  </si>
  <si>
    <t>1. 引数に以下を指定して、integrate.MergeExtendedSpatialIdsを呼び出す。
　"【別紙5】最適化後の精度パターン"シート"拡張空間ID試験データ"のNo.2の「変換前拡張空間ID」「変換後水平方向精度」「変換後水平方向精度」</t>
    <phoneticPr fontId="3"/>
  </si>
  <si>
    <t>1. 引数に以下を指定して、integrate.MergeExtendedSpatialIdsを呼び出す。
　"【別紙5】最適化後の精度パターン"シート"拡張空間ID試験データ"のNo.3の「変換前拡張空間ID」「変換後水平方向精度」「変換後水平方向精度」</t>
    <phoneticPr fontId="3"/>
  </si>
  <si>
    <t>1. 引数に以下を指定して、integrate.MergeExtendedSpatialIdsを呼び出す。
　"【別紙5】最適化後の精度パターン"シート"拡張空間ID試験データ"のNo.4の「変換前拡張空間ID」「変換後水平方向精度」「変換後水平方向精度」</t>
    <phoneticPr fontId="3"/>
  </si>
  <si>
    <t>1. 引数に以下を指定して、integrate.MergeSpatialIdsを呼び出す。
　"【別紙5】最適化後の精度パターン"シート"空間ID試験データ"のNo.1の「変換前空間ID」「変換後水平方向精度」「変換後水平方向精度」</t>
    <phoneticPr fontId="3"/>
  </si>
  <si>
    <t>1. 引数に以下を指定して、integrate.MergeSpatialIdsを呼び出す。
　"【別紙5】最適化後の精度パターン"シート"空間ID試験データ"のNo.2の「変換前空間ID」「変換後水平方向精度」「変換後水平方向精度」</t>
    <phoneticPr fontId="3"/>
  </si>
  <si>
    <t>1. 引数に以下を指定して、integrate.MergeExtendedSpatialIdsを呼び出す。
　拡張空間ID：
　　["21/20/21/21/20",
　 　"21/20/21/21/21",
　　 "21/21/21/21/20",
　　 "21/21/21/21/21",
　　 "21/20/20/21/20",
　　 "21/20/20/21/21",
　　 "21/21/20/21/20",
　　 "21/21/20/21/21",
　　 "21/20/21/21/22",
　　 "21/20/21/21/23",
　　 "21/21/21/21/22",
　　 "21/21/21/21/23",
　　 "21/20/20/21/22",
　　 "21/20/20/21/23",
　　 "21/21/20/21/22",
　　 "21/21/20/21/23",
　　 "20/10/10/20/20",
　 　"19/5/5/19/5"]
　水平方向精度：20
　垂直方向精度：20</t>
    <phoneticPr fontId="3"/>
  </si>
  <si>
    <t>・以下の拡張空間IDが取得できること
　[20/10/10/20/10
　 20/10/10/20/11
　 20/10/10/20/20
　 19/5/5/19/5]
・エラーインスタンスが返却されていないこと</t>
    <phoneticPr fontId="3"/>
  </si>
  <si>
    <t>・以下の空間IDが取得できること
　[20/10/10/10
　 20/11/10/10
　 20/20/10/10
　 19/5/5/5]
・エラーインスタンスが返却されていないこと</t>
    <phoneticPr fontId="3"/>
  </si>
  <si>
    <t>1. 引数に以下を指定して、integrate.MergeSpatialIdsを呼び出す。
　空間ID：
　　["21/20/20/21",
　 　"21/21/20/21",
　　 "21/20/21/21",
　　 "21/21/21/21",
　　 "21/20/20/20",
　　 "21/21/20/20",
　　 "21/20/21/20",
　　 "21/21/21/20",
　　 "21/22/20/21",
　　 "21/23/20/21",
　　 "21/22/21/21",
　　 "21/23/21/21",
　　 "21/22/20/20",
　　 "21/23/20/20",
　　 "21/22/21/20",
　　 "21/23/21/20",
　　 "20/20/10/10",
　 　"19/5/5/5"]
　精度：20</t>
    <phoneticPr fontId="3"/>
  </si>
  <si>
    <t>変換後垂直方向精度</t>
    <rPh sb="0" eb="3">
      <t>ヘンカンアト</t>
    </rPh>
    <rPh sb="3" eb="5">
      <t>スイチョク</t>
    </rPh>
    <rPh sb="5" eb="7">
      <t>ホウコウ</t>
    </rPh>
    <rPh sb="7" eb="9">
      <t>セイド</t>
    </rPh>
    <phoneticPr fontId="3"/>
  </si>
  <si>
    <t>[20/10/10/22/10]</t>
    <phoneticPr fontId="3"/>
  </si>
  <si>
    <t>[22/10/10/20/10]</t>
    <phoneticPr fontId="3"/>
  </si>
  <si>
    <t>[22/10/10/22/10]</t>
    <phoneticPr fontId="3"/>
  </si>
  <si>
    <t>[34/0/0/35/0 34/0/0/35/1]</t>
    <phoneticPr fontId="3"/>
  </si>
  <si>
    <t>最適化後の精度が最適化条件を満たすパターン</t>
    <phoneticPr fontId="3"/>
  </si>
  <si>
    <t>最適化後の精度が最適化条件を満たさないパターン</t>
    <phoneticPr fontId="3"/>
  </si>
  <si>
    <t>1. 引数に以下を指定して、integrate.MergeExtendedSpatialIdsを呼び出す。
　"【別紙2】最適化後のボクセル内パターン"シート"拡張空間ID試験データ"のNo.2の「変換前拡張空間ID」「変換後水平方向精度」「変換後水平方向精度」</t>
    <phoneticPr fontId="3"/>
  </si>
  <si>
    <t>1. 引数に以下を指定して、integrate.MergeExtendedSpatialIdsを呼び出す。
　"【別紙2】最適化後のボクセル内パターン"シート"拡張空間ID試験データ"のNo.3の「変換前拡張空間ID」「変換後水平方向精度」「変換後水平方向精度」</t>
    <phoneticPr fontId="3"/>
  </si>
  <si>
    <t>1. 引数に以下を指定して、integrate.MergeExtendedSpatialIdsを呼び出す。
　"【別紙2】最適化後のボクセル内パターン"シート"拡張空間ID試験データ"のNo.4の「変換前拡張空間ID」「変換後水平方向精度」「変換後水平方向精度」</t>
    <phoneticPr fontId="3"/>
  </si>
  <si>
    <t>1. 引数に以下を指定して、integrate.MergeExtendedSpatialIdsを呼び出す。
　"【別紙2】最適化後のボクセル内パターン"シート"拡張空間ID試験データ"のNo.5の「変換前拡張空間ID」「変換後水平方向精度」「変換後水平方向精度」</t>
    <phoneticPr fontId="3"/>
  </si>
  <si>
    <t>1. 引数に以下を指定して、integrate.MergeExtendedSpatialIdsを呼び出す。
　"【別紙2】最適化後のボクセル内パターン"シート"拡張空間ID試験データ"のNo.6の「変換前拡張空間ID」「変換後水平方向精度」「変換後水平方向精度」</t>
    <phoneticPr fontId="3"/>
  </si>
  <si>
    <t>宮原</t>
    <rPh sb="0" eb="2">
      <t>ミヤハラ</t>
    </rPh>
    <phoneticPr fontId="3"/>
  </si>
  <si>
    <t>OK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</si>
</sst>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m/d"/>
    <numFmt numFmtId="177" formatCode="#,##0;\-#,##0;&quot;-&quot;"/>
    <numFmt numFmtId="178" formatCode="[$-411]ggge&quot;年&quot;m&quot;月&quot;d&quot;日&quot;;@"/>
    <numFmt numFmtId="179" formatCode="0.00_ "/>
    <numFmt numFmtId="180" formatCode="&quot;$&quot;#,##0_);\(&quot;$&quot;#,##0\)"/>
    <numFmt numFmtId="181" formatCode="&quot;¥&quot;&quot;¥&quot;&quot;¥&quot;&quot;¥&quot;&quot;¥&quot;&quot;¥&quot;&quot;¥&quot;\$#,##0_);[Red]&quot;¥&quot;&quot;¥&quot;&quot;¥&quot;&quot;¥&quot;&quot;¥&quot;&quot;¥&quot;&quot;¥&quot;\(&quot;¥&quot;&quot;¥&quot;&quot;¥&quot;&quot;¥&quot;&quot;¥&quot;&quot;¥&quot;&quot;¥&quot;\$#,##0&quot;¥&quot;&quot;¥&quot;&quot;¥&quot;&quot;¥&quot;&quot;¥&quot;&quot;¥&quot;&quot;¥&quot;\)"/>
    <numFmt numFmtId="182" formatCode="&quot;$&quot;#,##0_);[Red]\(&quot;$&quot;#,##0\)"/>
    <numFmt numFmtId="183" formatCode="&quot;$&quot;#,##0.00_);[Red]\(&quot;$&quot;#,##0.00\)"/>
    <numFmt numFmtId="184" formatCode="_ * #,##0_ ;_ * &quot;¥&quot;&quot;¥&quot;&quot;¥&quot;&quot;¥&quot;&quot;¥&quot;&quot;¥&quot;\-#,##0_ ;_ * &quot;-&quot;_ ;_ @_ "/>
    <numFmt numFmtId="185" formatCode="_ * #,##0.00_ ;_ * &quot;¥&quot;&quot;¥&quot;&quot;¥&quot;&quot;¥&quot;&quot;¥&quot;&quot;¥&quot;\-#,##0.00_ ;_ * &quot;-&quot;??_ ;_ @_ "/>
    <numFmt numFmtId="186" formatCode="0.00_)"/>
    <numFmt numFmtId="187" formatCode="#,##0_ ;[Red]\-#,##0\ "/>
    <numFmt numFmtId="188" formatCode="0_ ;[Red]\-0\ "/>
    <numFmt numFmtId="189" formatCode="0_);\(0\)"/>
    <numFmt numFmtId="190" formatCode="#,##0_ "/>
    <numFmt numFmtId="191" formatCode="[$-F800]dddd\,\ mmmm\ dd\,\ yyyy"/>
  </numFmts>
  <fonts count="3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8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8"/>
      <name val="ＭＳ 明朝"/>
      <family val="1"/>
      <charset val="128"/>
    </font>
    <font>
      <sz val="11"/>
      <name val="ＭＳ 明朝"/>
      <family val="1"/>
      <charset val="128"/>
    </font>
    <font>
      <b/>
      <sz val="22"/>
      <name val="ＭＳ 明朝"/>
      <family val="1"/>
      <charset val="128"/>
    </font>
    <font>
      <b/>
      <sz val="24"/>
      <name val="ＭＳ 明朝"/>
      <family val="1"/>
      <charset val="128"/>
    </font>
    <font>
      <sz val="18"/>
      <name val="ＭＳ 明朝"/>
      <family val="1"/>
      <charset val="128"/>
    </font>
    <font>
      <sz val="14"/>
      <name val="ＭＳ 明朝"/>
      <family val="1"/>
      <charset val="128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ＭＳ 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b/>
      <i/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9"/>
      <color theme="1"/>
      <name val="ＭＳ Ｐゴシック"/>
      <family val="2"/>
      <charset val="128"/>
      <scheme val="minor"/>
    </font>
    <font>
      <b/>
      <sz val="10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lightGray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180" fontId="20" fillId="0" borderId="1" applyAlignment="0" applyProtection="0"/>
    <xf numFmtId="177" fontId="7" fillId="0" borderId="0" applyFill="0" applyBorder="0" applyAlignment="0"/>
    <xf numFmtId="38" fontId="21" fillId="0" borderId="0" applyFont="0" applyFill="0" applyBorder="0" applyAlignment="0" applyProtection="0"/>
    <xf numFmtId="181" fontId="22" fillId="0" borderId="0"/>
    <xf numFmtId="182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4" fontId="22" fillId="0" borderId="0"/>
    <xf numFmtId="185" fontId="22" fillId="0" borderId="0"/>
    <xf numFmtId="0" fontId="8" fillId="0" borderId="0">
      <alignment horizontal="left"/>
    </xf>
    <xf numFmtId="38" fontId="23" fillId="2" borderId="0" applyNumberFormat="0" applyBorder="0" applyAlignment="0" applyProtection="0"/>
    <xf numFmtId="0" fontId="9" fillId="0" borderId="2" applyNumberFormat="0" applyAlignment="0" applyProtection="0">
      <alignment horizontal="left" vertical="center"/>
    </xf>
    <xf numFmtId="0" fontId="9" fillId="0" borderId="3">
      <alignment horizontal="left" vertical="center"/>
    </xf>
    <xf numFmtId="10" fontId="23" fillId="3" borderId="4" applyNumberFormat="0" applyBorder="0" applyAlignment="0" applyProtection="0"/>
    <xf numFmtId="186" fontId="24" fillId="0" borderId="0"/>
    <xf numFmtId="0" fontId="10" fillId="0" borderId="0"/>
    <xf numFmtId="10" fontId="10" fillId="0" borderId="0" applyFont="0" applyFill="0" applyBorder="0" applyAlignment="0" applyProtection="0"/>
    <xf numFmtId="4" fontId="8" fillId="0" borderId="0">
      <alignment horizontal="right"/>
    </xf>
    <xf numFmtId="0" fontId="21" fillId="0" borderId="0" applyNumberFormat="0" applyFont="0" applyFill="0" applyBorder="0" applyAlignment="0" applyProtection="0">
      <alignment horizontal="left"/>
    </xf>
    <xf numFmtId="0" fontId="20" fillId="0" borderId="5">
      <alignment horizontal="center"/>
    </xf>
    <xf numFmtId="4" fontId="11" fillId="0" borderId="0">
      <alignment horizontal="right"/>
    </xf>
    <xf numFmtId="0" fontId="12" fillId="0" borderId="0">
      <alignment horizontal="left"/>
    </xf>
    <xf numFmtId="0" fontId="13" fillId="0" borderId="0">
      <alignment horizontal="center"/>
    </xf>
    <xf numFmtId="187" fontId="4" fillId="0" borderId="0" applyBorder="0">
      <alignment horizontal="right"/>
    </xf>
    <xf numFmtId="49" fontId="1" fillId="0" borderId="0" applyFont="0"/>
    <xf numFmtId="188" fontId="4" fillId="0" borderId="0" applyFill="0" applyBorder="0"/>
    <xf numFmtId="187" fontId="4" fillId="0" borderId="0" applyFill="0" applyBorder="0"/>
    <xf numFmtId="189" fontId="4" fillId="0" borderId="0" applyBorder="0">
      <alignment horizontal="left"/>
    </xf>
    <xf numFmtId="49" fontId="4" fillId="4" borderId="6">
      <alignment horizontal="center"/>
    </xf>
    <xf numFmtId="190" fontId="4" fillId="4" borderId="6">
      <alignment horizontal="right"/>
    </xf>
    <xf numFmtId="14" fontId="4" fillId="4" borderId="0" applyBorder="0">
      <alignment horizontal="center"/>
    </xf>
    <xf numFmtId="49" fontId="4" fillId="0" borderId="6"/>
    <xf numFmtId="14" fontId="4" fillId="0" borderId="7" applyBorder="0">
      <alignment horizontal="left"/>
    </xf>
    <xf numFmtId="14" fontId="4" fillId="0" borderId="0" applyFill="0" applyBorder="0"/>
    <xf numFmtId="0" fontId="1" fillId="0" borderId="0"/>
    <xf numFmtId="0" fontId="26" fillId="0" borderId="0">
      <alignment vertical="center"/>
    </xf>
    <xf numFmtId="0" fontId="1" fillId="0" borderId="0">
      <alignment vertical="center"/>
    </xf>
    <xf numFmtId="49" fontId="4" fillId="0" borderId="0"/>
    <xf numFmtId="0" fontId="19" fillId="0" borderId="0"/>
    <xf numFmtId="0" fontId="25" fillId="5" borderId="0">
      <alignment horizontal="center"/>
    </xf>
    <xf numFmtId="0" fontId="1" fillId="0" borderId="0"/>
    <xf numFmtId="0" fontId="1" fillId="0" borderId="0"/>
    <xf numFmtId="0" fontId="27" fillId="0" borderId="0"/>
    <xf numFmtId="0" fontId="28" fillId="0" borderId="0">
      <alignment vertical="center"/>
    </xf>
  </cellStyleXfs>
  <cellXfs count="127">
    <xf numFmtId="0" fontId="0" fillId="0" borderId="0" xfId="0"/>
    <xf numFmtId="14" fontId="2" fillId="0" borderId="0" xfId="0" applyNumberFormat="1" applyFont="1" applyAlignment="1">
      <alignment horizontal="center" vertical="center"/>
    </xf>
    <xf numFmtId="0" fontId="14" fillId="4" borderId="0" xfId="36" applyFont="1" applyFill="1" applyBorder="1" applyAlignment="1">
      <alignment horizontal="center" vertical="top" wrapText="1"/>
    </xf>
    <xf numFmtId="0" fontId="14" fillId="4" borderId="9" xfId="36" applyFont="1" applyFill="1" applyBorder="1" applyAlignment="1">
      <alignment horizontal="center" vertical="center" wrapText="1"/>
    </xf>
    <xf numFmtId="0" fontId="14" fillId="4" borderId="9" xfId="36" applyFont="1" applyFill="1" applyBorder="1" applyAlignment="1">
      <alignment horizontal="center" vertical="top" wrapText="1"/>
    </xf>
    <xf numFmtId="0" fontId="14" fillId="4" borderId="9" xfId="36" applyFont="1" applyFill="1" applyBorder="1" applyAlignment="1">
      <alignment vertical="top" wrapText="1"/>
    </xf>
    <xf numFmtId="14" fontId="14" fillId="4" borderId="9" xfId="36" applyNumberFormat="1" applyFont="1" applyFill="1" applyBorder="1" applyAlignment="1">
      <alignment horizontal="left" vertical="center" wrapText="1"/>
    </xf>
    <xf numFmtId="0" fontId="14" fillId="4" borderId="0" xfId="36" applyFont="1" applyFill="1" applyBorder="1" applyAlignment="1">
      <alignment vertical="top" wrapText="1"/>
    </xf>
    <xf numFmtId="0" fontId="14" fillId="4" borderId="0" xfId="36" applyFont="1" applyFill="1" applyBorder="1" applyAlignment="1">
      <alignment horizontal="center" vertical="center" wrapText="1"/>
    </xf>
    <xf numFmtId="14" fontId="14" fillId="4" borderId="0" xfId="36" applyNumberFormat="1" applyFont="1" applyFill="1" applyBorder="1" applyAlignment="1">
      <alignment horizontal="left" vertical="center" wrapText="1"/>
    </xf>
    <xf numFmtId="176" fontId="14" fillId="4" borderId="0" xfId="36" applyNumberFormat="1" applyFont="1" applyFill="1" applyBorder="1" applyAlignment="1">
      <alignment horizontal="center" vertical="top" wrapText="1"/>
    </xf>
    <xf numFmtId="57" fontId="14" fillId="4" borderId="0" xfId="36" applyNumberFormat="1" applyFont="1" applyFill="1" applyBorder="1" applyAlignment="1">
      <alignment horizontal="center" vertical="top" wrapText="1"/>
    </xf>
    <xf numFmtId="0" fontId="14" fillId="4" borderId="0" xfId="34" applyFont="1" applyFill="1" applyBorder="1" applyAlignment="1">
      <alignment horizontal="center" vertical="top" wrapText="1"/>
    </xf>
    <xf numFmtId="0" fontId="14" fillId="4" borderId="0" xfId="34" applyFont="1" applyFill="1" applyBorder="1" applyAlignment="1">
      <alignment horizontal="left" vertical="top" wrapText="1"/>
    </xf>
    <xf numFmtId="0" fontId="15" fillId="4" borderId="0" xfId="34" applyFont="1" applyFill="1" applyBorder="1" applyAlignment="1">
      <alignment vertical="top" wrapText="1"/>
    </xf>
    <xf numFmtId="14" fontId="14" fillId="4" borderId="0" xfId="36" applyNumberFormat="1" applyFont="1" applyFill="1" applyBorder="1" applyAlignment="1">
      <alignment horizontal="center" vertical="center" wrapText="1"/>
    </xf>
    <xf numFmtId="0" fontId="16" fillId="4" borderId="0" xfId="34" applyFont="1" applyFill="1" applyBorder="1" applyAlignment="1">
      <alignment vertical="center" wrapText="1"/>
    </xf>
    <xf numFmtId="0" fontId="14" fillId="4" borderId="0" xfId="34" applyFont="1" applyFill="1" applyBorder="1" applyAlignment="1">
      <alignment vertical="top" wrapText="1"/>
    </xf>
    <xf numFmtId="0" fontId="14" fillId="4" borderId="0" xfId="36" applyFont="1" applyFill="1" applyBorder="1" applyAlignment="1">
      <alignment vertical="top"/>
    </xf>
    <xf numFmtId="0" fontId="2" fillId="0" borderId="0" xfId="0" applyFont="1"/>
    <xf numFmtId="0" fontId="2" fillId="0" borderId="0" xfId="0" applyFont="1" applyFill="1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2" fillId="6" borderId="0" xfId="0" applyFont="1" applyFill="1"/>
    <xf numFmtId="0" fontId="2" fillId="6" borderId="4" xfId="0" applyFont="1" applyFill="1" applyBorder="1" applyAlignment="1">
      <alignment horizontal="left" vertical="top" wrapText="1"/>
    </xf>
    <xf numFmtId="14" fontId="2" fillId="6" borderId="8" xfId="0" applyNumberFormat="1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top" wrapText="1"/>
    </xf>
    <xf numFmtId="0" fontId="2" fillId="0" borderId="0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top" wrapText="1"/>
    </xf>
    <xf numFmtId="0" fontId="2" fillId="6" borderId="8" xfId="0" applyFont="1" applyFill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30" fillId="0" borderId="0" xfId="0" applyFont="1"/>
    <xf numFmtId="0" fontId="0" fillId="0" borderId="8" xfId="0" applyBorder="1" applyAlignment="1">
      <alignment vertical="top" wrapText="1"/>
    </xf>
    <xf numFmtId="0" fontId="14" fillId="4" borderId="0" xfId="36" applyFont="1" applyFill="1" applyAlignment="1">
      <alignment vertical="top" wrapText="1"/>
    </xf>
    <xf numFmtId="178" fontId="15" fillId="0" borderId="4" xfId="36" applyNumberFormat="1" applyFont="1" applyBorder="1">
      <alignment vertical="center"/>
    </xf>
    <xf numFmtId="179" fontId="15" fillId="0" borderId="4" xfId="36" applyNumberFormat="1" applyFont="1" applyBorder="1" applyAlignment="1">
      <alignment horizontal="center" vertical="center"/>
    </xf>
    <xf numFmtId="0" fontId="15" fillId="0" borderId="4" xfId="36" applyFont="1" applyBorder="1">
      <alignment vertical="center"/>
    </xf>
    <xf numFmtId="0" fontId="2" fillId="6" borderId="10" xfId="0" applyFont="1" applyFill="1" applyBorder="1" applyAlignment="1">
      <alignment horizontal="center" vertical="top" wrapText="1"/>
    </xf>
    <xf numFmtId="0" fontId="2" fillId="6" borderId="4" xfId="0" applyFont="1" applyFill="1" applyBorder="1" applyAlignment="1">
      <alignment horizontal="center" vertical="top" wrapText="1"/>
    </xf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2" fillId="0" borderId="12" xfId="0" applyFont="1" applyFill="1" applyBorder="1" applyAlignment="1">
      <alignment horizontal="center" vertical="top" wrapText="1"/>
    </xf>
    <xf numFmtId="0" fontId="0" fillId="0" borderId="29" xfId="0" applyBorder="1" applyAlignment="1">
      <alignment vertical="top" wrapText="1"/>
    </xf>
    <xf numFmtId="0" fontId="0" fillId="0" borderId="30" xfId="0" applyBorder="1" applyAlignment="1">
      <alignment vertical="top" wrapText="1"/>
    </xf>
    <xf numFmtId="0" fontId="0" fillId="0" borderId="16" xfId="0" applyBorder="1" applyAlignment="1">
      <alignment horizontal="right"/>
    </xf>
    <xf numFmtId="0" fontId="29" fillId="7" borderId="11" xfId="0" applyFont="1" applyFill="1" applyBorder="1" applyAlignment="1">
      <alignment horizontal="center" vertical="center" wrapText="1"/>
    </xf>
    <xf numFmtId="0" fontId="29" fillId="7" borderId="10" xfId="0" applyFont="1" applyFill="1" applyBorder="1" applyAlignment="1">
      <alignment horizontal="center" vertical="center" wrapText="1"/>
    </xf>
    <xf numFmtId="0" fontId="29" fillId="7" borderId="19" xfId="0" applyFont="1" applyFill="1" applyBorder="1" applyAlignment="1">
      <alignment horizontal="center" vertical="center" wrapText="1"/>
    </xf>
    <xf numFmtId="0" fontId="15" fillId="7" borderId="4" xfId="36" applyFont="1" applyFill="1" applyBorder="1">
      <alignment vertical="center"/>
    </xf>
    <xf numFmtId="0" fontId="15" fillId="7" borderId="4" xfId="36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14" fontId="5" fillId="7" borderId="13" xfId="0" applyNumberFormat="1" applyFont="1" applyFill="1" applyBorder="1" applyAlignment="1">
      <alignment horizontal="center" vertical="center"/>
    </xf>
    <xf numFmtId="0" fontId="5" fillId="7" borderId="13" xfId="0" applyNumberFormat="1" applyFont="1" applyFill="1" applyBorder="1" applyAlignment="1">
      <alignment horizontal="center" vertical="center" wrapText="1"/>
    </xf>
    <xf numFmtId="191" fontId="15" fillId="0" borderId="4" xfId="36" applyNumberFormat="1" applyFont="1" applyBorder="1">
      <alignment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33" xfId="0" applyBorder="1"/>
    <xf numFmtId="0" fontId="0" fillId="0" borderId="34" xfId="0" applyBorder="1"/>
    <xf numFmtId="0" fontId="0" fillId="0" borderId="4" xfId="0" applyBorder="1"/>
    <xf numFmtId="0" fontId="0" fillId="0" borderId="3" xfId="0" applyBorder="1"/>
    <xf numFmtId="0" fontId="0" fillId="0" borderId="0" xfId="0" applyBorder="1"/>
    <xf numFmtId="0" fontId="0" fillId="0" borderId="33" xfId="0" applyBorder="1" applyAlignment="1">
      <alignment wrapText="1"/>
    </xf>
    <xf numFmtId="0" fontId="31" fillId="8" borderId="4" xfId="0" applyFont="1" applyFill="1" applyBorder="1"/>
    <xf numFmtId="0" fontId="31" fillId="8" borderId="33" xfId="0" applyFont="1" applyFill="1" applyBorder="1"/>
    <xf numFmtId="0" fontId="31" fillId="8" borderId="34" xfId="0" applyFont="1" applyFill="1" applyBorder="1"/>
    <xf numFmtId="0" fontId="31" fillId="8" borderId="3" xfId="0" applyFont="1" applyFill="1" applyBorder="1"/>
    <xf numFmtId="0" fontId="31" fillId="6" borderId="0" xfId="34" applyFont="1" applyFill="1"/>
    <xf numFmtId="0" fontId="31" fillId="0" borderId="0" xfId="0" applyFont="1"/>
    <xf numFmtId="0" fontId="0" fillId="0" borderId="0" xfId="0" applyAlignment="1">
      <alignment wrapText="1"/>
    </xf>
    <xf numFmtId="0" fontId="0" fillId="0" borderId="0" xfId="0" applyFill="1" applyBorder="1"/>
    <xf numFmtId="1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33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4" xfId="0" applyBorder="1" applyAlignment="1">
      <alignment horizontal="left"/>
    </xf>
    <xf numFmtId="0" fontId="31" fillId="0" borderId="0" xfId="0" applyFont="1" applyFill="1" applyBorder="1"/>
    <xf numFmtId="0" fontId="0" fillId="0" borderId="0" xfId="0" applyFill="1" applyBorder="1" applyAlignment="1">
      <alignment wrapText="1"/>
    </xf>
    <xf numFmtId="0" fontId="2" fillId="0" borderId="10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8" xfId="0" applyFont="1" applyBorder="1" applyAlignment="1">
      <alignment horizontal="center" vertical="center" wrapText="1"/>
    </xf>
    <xf numFmtId="0" fontId="14" fillId="4" borderId="9" xfId="36" applyFont="1" applyFill="1" applyBorder="1" applyAlignment="1">
      <alignment horizontal="center" vertical="center" wrapText="1"/>
    </xf>
    <xf numFmtId="0" fontId="14" fillId="4" borderId="0" xfId="36" applyFont="1" applyFill="1" applyBorder="1" applyAlignment="1">
      <alignment horizontal="center" vertical="center" wrapText="1"/>
    </xf>
    <xf numFmtId="0" fontId="14" fillId="4" borderId="9" xfId="36" applyFont="1" applyFill="1" applyBorder="1" applyAlignment="1">
      <alignment vertical="center" wrapText="1"/>
    </xf>
    <xf numFmtId="0" fontId="14" fillId="4" borderId="0" xfId="36" applyFont="1" applyFill="1" applyBorder="1" applyAlignment="1">
      <alignment vertical="center" wrapText="1"/>
    </xf>
    <xf numFmtId="0" fontId="14" fillId="4" borderId="0" xfId="36" applyFont="1" applyFill="1" applyBorder="1" applyAlignment="1">
      <alignment horizontal="left" vertical="top" wrapText="1"/>
    </xf>
    <xf numFmtId="0" fontId="15" fillId="4" borderId="0" xfId="34" applyFont="1" applyFill="1" applyBorder="1" applyAlignment="1">
      <alignment horizontal="left" vertical="top" wrapText="1"/>
    </xf>
    <xf numFmtId="0" fontId="16" fillId="0" borderId="0" xfId="34" applyFont="1" applyFill="1" applyBorder="1" applyAlignment="1">
      <alignment horizontal="center" vertical="center" wrapText="1"/>
    </xf>
    <xf numFmtId="191" fontId="18" fillId="4" borderId="0" xfId="34" applyNumberFormat="1" applyFont="1" applyFill="1" applyBorder="1" applyAlignment="1">
      <alignment horizontal="center" vertical="center" wrapText="1"/>
    </xf>
    <xf numFmtId="0" fontId="17" fillId="4" borderId="0" xfId="34" applyFont="1" applyFill="1" applyBorder="1" applyAlignment="1">
      <alignment horizontal="center" vertical="center" wrapText="1"/>
    </xf>
    <xf numFmtId="0" fontId="16" fillId="4" borderId="0" xfId="34" applyFont="1" applyFill="1" applyBorder="1" applyAlignment="1">
      <alignment horizontal="center" vertical="center" wrapText="1"/>
    </xf>
    <xf numFmtId="0" fontId="18" fillId="4" borderId="0" xfId="34" applyFont="1" applyFill="1" applyBorder="1" applyAlignment="1">
      <alignment horizontal="center" vertical="center" wrapText="1"/>
    </xf>
    <xf numFmtId="0" fontId="31" fillId="7" borderId="11" xfId="0" applyFont="1" applyFill="1" applyBorder="1" applyAlignment="1">
      <alignment vertical="top" wrapText="1"/>
    </xf>
    <xf numFmtId="0" fontId="31" fillId="7" borderId="10" xfId="0" applyFont="1" applyFill="1" applyBorder="1" applyAlignment="1">
      <alignment vertical="top" wrapText="1"/>
    </xf>
    <xf numFmtId="0" fontId="31" fillId="7" borderId="19" xfId="0" applyFont="1" applyFill="1" applyBorder="1" applyAlignment="1">
      <alignment vertical="top" wrapText="1"/>
    </xf>
    <xf numFmtId="0" fontId="31" fillId="7" borderId="20" xfId="0" applyFont="1" applyFill="1" applyBorder="1" applyAlignment="1">
      <alignment vertical="top" wrapText="1"/>
    </xf>
    <xf numFmtId="0" fontId="31" fillId="7" borderId="17" xfId="0" applyFont="1" applyFill="1" applyBorder="1" applyAlignment="1">
      <alignment vertical="top" wrapText="1"/>
    </xf>
    <xf numFmtId="0" fontId="31" fillId="7" borderId="21" xfId="0" applyFont="1" applyFill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1" xfId="0" applyBorder="1" applyAlignment="1">
      <alignment horizontal="left" wrapText="1"/>
    </xf>
    <xf numFmtId="0" fontId="0" fillId="0" borderId="35" xfId="0" applyBorder="1" applyAlignment="1">
      <alignment horizontal="left" wrapText="1"/>
    </xf>
    <xf numFmtId="0" fontId="0" fillId="0" borderId="32" xfId="0" applyBorder="1" applyAlignment="1">
      <alignment horizontal="left" wrapText="1"/>
    </xf>
    <xf numFmtId="0" fontId="0" fillId="0" borderId="33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3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34" xfId="0" applyBorder="1" applyAlignment="1">
      <alignment horizontal="left" wrapText="1"/>
    </xf>
  </cellXfs>
  <cellStyles count="44">
    <cellStyle name="Border" xfId="1" xr:uid="{00000000-0005-0000-0000-000000000000}"/>
    <cellStyle name="Calc Currency (0)" xfId="2" xr:uid="{00000000-0005-0000-0000-000001000000}"/>
    <cellStyle name="Comma [0]" xfId="3" xr:uid="{00000000-0005-0000-0000-000002000000}"/>
    <cellStyle name="comma zerodec" xfId="4" xr:uid="{00000000-0005-0000-0000-000003000000}"/>
    <cellStyle name="Currency [0]" xfId="5" xr:uid="{00000000-0005-0000-0000-000004000000}"/>
    <cellStyle name="Currency_laroux" xfId="6" xr:uid="{00000000-0005-0000-0000-000005000000}"/>
    <cellStyle name="Currency1" xfId="7" xr:uid="{00000000-0005-0000-0000-000006000000}"/>
    <cellStyle name="Dollar (zero dec)" xfId="8" xr:uid="{00000000-0005-0000-0000-000007000000}"/>
    <cellStyle name="entry" xfId="9" xr:uid="{00000000-0005-0000-0000-000008000000}"/>
    <cellStyle name="Grey" xfId="10" xr:uid="{00000000-0005-0000-0000-000009000000}"/>
    <cellStyle name="Header1" xfId="11" xr:uid="{00000000-0005-0000-0000-00000A000000}"/>
    <cellStyle name="Header2" xfId="12" xr:uid="{00000000-0005-0000-0000-00000B000000}"/>
    <cellStyle name="Input [yellow]" xfId="13" xr:uid="{00000000-0005-0000-0000-00000C000000}"/>
    <cellStyle name="Normal - Style1" xfId="14" xr:uid="{00000000-0005-0000-0000-00000D000000}"/>
    <cellStyle name="Normal_#18-Internet" xfId="15" xr:uid="{00000000-0005-0000-0000-00000E000000}"/>
    <cellStyle name="Percent [2]" xfId="16" xr:uid="{00000000-0005-0000-0000-00000F000000}"/>
    <cellStyle name="price" xfId="17" xr:uid="{00000000-0005-0000-0000-000010000000}"/>
    <cellStyle name="PSChar" xfId="18" xr:uid="{00000000-0005-0000-0000-000011000000}"/>
    <cellStyle name="PSHeading" xfId="19" xr:uid="{00000000-0005-0000-0000-000012000000}"/>
    <cellStyle name="revised" xfId="20" xr:uid="{00000000-0005-0000-0000-000013000000}"/>
    <cellStyle name="section" xfId="21" xr:uid="{00000000-0005-0000-0000-000014000000}"/>
    <cellStyle name="title" xfId="22" xr:uid="{00000000-0005-0000-0000-000015000000}"/>
    <cellStyle name="価格桁区切り" xfId="23" xr:uid="{00000000-0005-0000-0000-000017000000}"/>
    <cellStyle name="型番" xfId="24" xr:uid="{00000000-0005-0000-0000-000018000000}"/>
    <cellStyle name="数値" xfId="25" xr:uid="{00000000-0005-0000-0000-000019000000}"/>
    <cellStyle name="数値（桁区切り）" xfId="26" xr:uid="{00000000-0005-0000-0000-00001A000000}"/>
    <cellStyle name="数値_ＣＣ見積３S4100(NX)_rev3010704" xfId="27" xr:uid="{00000000-0005-0000-0000-00001B000000}"/>
    <cellStyle name="製品通知&quot;-&quot;" xfId="28" xr:uid="{00000000-0005-0000-0000-00001C000000}"/>
    <cellStyle name="製品通知価格" xfId="29" xr:uid="{00000000-0005-0000-0000-00001D000000}"/>
    <cellStyle name="製品通知日付" xfId="30" xr:uid="{00000000-0005-0000-0000-00001E000000}"/>
    <cellStyle name="製品通知文字列" xfId="31" xr:uid="{00000000-0005-0000-0000-00001F000000}"/>
    <cellStyle name="日付" xfId="32" xr:uid="{00000000-0005-0000-0000-000020000000}"/>
    <cellStyle name="年月日" xfId="33" xr:uid="{00000000-0005-0000-0000-000021000000}"/>
    <cellStyle name="標準" xfId="0" builtinId="0"/>
    <cellStyle name="標準 2" xfId="34" xr:uid="{00000000-0005-0000-0000-000023000000}"/>
    <cellStyle name="標準 2 2" xfId="43" xr:uid="{00000000-0005-0000-0000-000024000000}"/>
    <cellStyle name="標準 2 2 2" xfId="41" xr:uid="{00000000-0005-0000-0000-000025000000}"/>
    <cellStyle name="標準 3" xfId="42" xr:uid="{00000000-0005-0000-0000-000026000000}"/>
    <cellStyle name="標準 3 2" xfId="40" xr:uid="{00000000-0005-0000-0000-000027000000}"/>
    <cellStyle name="標準 4" xfId="35" xr:uid="{00000000-0005-0000-0000-000028000000}"/>
    <cellStyle name="標準_LoginTime_試験仕様書" xfId="36" xr:uid="{00000000-0005-0000-0000-000029000000}"/>
    <cellStyle name="文字列" xfId="37" xr:uid="{00000000-0005-0000-0000-00002A000000}"/>
    <cellStyle name="未定義" xfId="38" xr:uid="{00000000-0005-0000-0000-00002B000000}"/>
    <cellStyle name="網掛け" xfId="39" xr:uid="{00000000-0005-0000-0000-00002C000000}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indexed="23"/>
        </patternFill>
      </fill>
    </dxf>
  </dxfs>
  <tableStyles count="0" defaultTableStyle="TableStyleMedium9" defaultPivotStyle="PivotStyleLight16"/>
  <colors>
    <mruColors>
      <color rgb="FFCCFF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19050</xdr:rowOff>
    </xdr:from>
    <xdr:to>
      <xdr:col>8</xdr:col>
      <xdr:colOff>438150</xdr:colOff>
      <xdr:row>0</xdr:row>
      <xdr:rowOff>400050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3473954-684D-4AE0-9696-DBD3D9D499EF}"/>
            </a:ext>
          </a:extLst>
        </xdr:cNvPr>
        <xdr:cNvSpPr txBox="1"/>
      </xdr:nvSpPr>
      <xdr:spPr>
        <a:xfrm>
          <a:off x="8010525" y="19050"/>
          <a:ext cx="695325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/>
            <a:t>【</a:t>
          </a:r>
          <a:r>
            <a:rPr kumimoji="1" lang="ja-JP" altLang="en-US" sz="800"/>
            <a:t>全体共通の手順</a:t>
          </a:r>
          <a:r>
            <a:rPr kumimoji="1" lang="en-US" altLang="ja-JP" sz="800"/>
            <a:t>】</a:t>
          </a:r>
        </a:p>
        <a:p>
          <a:r>
            <a:rPr kumimoji="1" lang="ja-JP" altLang="en-US" sz="800"/>
            <a:t>・本試験では、試験対象の</a:t>
          </a:r>
          <a:r>
            <a:rPr kumimoji="1" lang="en-US" altLang="ja-JP" sz="800"/>
            <a:t>API</a:t>
          </a:r>
          <a:r>
            <a:rPr kumimoji="1" lang="ja-JP" altLang="en-US" sz="800"/>
            <a:t>を呼び出す試験用スクリプトを作成し、実行することで試験を行うものとする。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9"/>
  <sheetViews>
    <sheetView showGridLines="0" view="pageBreakPreview" zoomScaleNormal="100" zoomScaleSheetLayoutView="100" workbookViewId="0">
      <selection activeCell="B25" sqref="B25:Y28"/>
    </sheetView>
  </sheetViews>
  <sheetFormatPr defaultColWidth="9" defaultRowHeight="10.5" x14ac:dyDescent="0.15"/>
  <cols>
    <col min="1" max="1" width="5.625" style="7" customWidth="1"/>
    <col min="2" max="2" width="8.875" style="7" customWidth="1"/>
    <col min="3" max="8" width="5.625" style="7" customWidth="1"/>
    <col min="9" max="11" width="5.625" style="8" customWidth="1"/>
    <col min="12" max="12" width="5.625" style="7" customWidth="1"/>
    <col min="13" max="14" width="5.625" style="8" customWidth="1"/>
    <col min="15" max="65" width="5.625" style="7" customWidth="1"/>
    <col min="66" max="16384" width="9" style="7"/>
  </cols>
  <sheetData>
    <row r="1" spans="1:28" ht="15" customHeight="1" x14ac:dyDescent="0.15">
      <c r="A1" s="95"/>
      <c r="B1" s="95"/>
      <c r="C1" s="97"/>
      <c r="D1" s="4"/>
      <c r="E1" s="5"/>
      <c r="F1" s="3"/>
      <c r="G1" s="6"/>
      <c r="H1" s="5"/>
      <c r="I1" s="4"/>
      <c r="J1" s="4"/>
      <c r="K1" s="4"/>
      <c r="L1" s="5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B1" s="18" t="s">
        <v>78</v>
      </c>
    </row>
    <row r="2" spans="1:28" ht="15" customHeight="1" x14ac:dyDescent="0.15">
      <c r="A2" s="96"/>
      <c r="B2" s="96"/>
      <c r="C2" s="98"/>
      <c r="D2" s="2"/>
      <c r="F2" s="8"/>
      <c r="G2" s="9"/>
      <c r="I2" s="2"/>
      <c r="J2" s="2"/>
      <c r="K2" s="2"/>
      <c r="M2" s="2"/>
      <c r="N2" s="2"/>
    </row>
    <row r="3" spans="1:28" ht="15" customHeight="1" x14ac:dyDescent="0.15">
      <c r="I3" s="2"/>
      <c r="J3" s="2"/>
      <c r="K3" s="2"/>
      <c r="M3" s="2"/>
      <c r="N3" s="2"/>
    </row>
    <row r="4" spans="1:28" s="2" customFormat="1" ht="15" customHeight="1" x14ac:dyDescent="0.15">
      <c r="D4" s="7"/>
      <c r="E4" s="7"/>
      <c r="F4" s="7"/>
      <c r="G4" s="7"/>
      <c r="I4" s="10"/>
      <c r="M4" s="11"/>
    </row>
    <row r="5" spans="1:28" ht="15" customHeight="1" x14ac:dyDescent="0.15">
      <c r="A5" s="12"/>
      <c r="B5" s="12"/>
      <c r="C5" s="13"/>
      <c r="E5" s="14"/>
      <c r="F5" s="14"/>
      <c r="G5" s="14"/>
      <c r="H5" s="13"/>
      <c r="I5" s="15"/>
      <c r="M5" s="15"/>
    </row>
    <row r="6" spans="1:28" ht="15" customHeight="1" x14ac:dyDescent="0.15">
      <c r="A6" s="12"/>
      <c r="B6" s="12"/>
      <c r="C6" s="13"/>
      <c r="D6" s="99"/>
      <c r="E6" s="100"/>
      <c r="F6" s="100"/>
      <c r="G6" s="100"/>
      <c r="H6" s="13"/>
      <c r="I6" s="15"/>
      <c r="M6" s="15"/>
    </row>
    <row r="7" spans="1:28" ht="15" customHeight="1" x14ac:dyDescent="0.15">
      <c r="A7" s="12"/>
      <c r="B7" s="101" t="str">
        <f>"空間ID開発(GO言語版)
"&amp;AB1</f>
        <v>空間ID開発(GO言語版)
最適化</v>
      </c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</row>
    <row r="8" spans="1:28" ht="15" customHeight="1" x14ac:dyDescent="0.15">
      <c r="A8" s="12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</row>
    <row r="9" spans="1:28" ht="15" customHeight="1" x14ac:dyDescent="0.15">
      <c r="A9" s="12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</row>
    <row r="10" spans="1:28" ht="15" customHeight="1" x14ac:dyDescent="0.15">
      <c r="A10" s="12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</row>
    <row r="11" spans="1:28" ht="15" customHeight="1" x14ac:dyDescent="0.1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8" ht="15" customHeight="1" x14ac:dyDescent="0.15">
      <c r="A12" s="12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</row>
    <row r="13" spans="1:28" ht="15" customHeight="1" x14ac:dyDescent="0.15">
      <c r="A13" s="12"/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</row>
    <row r="14" spans="1:28" ht="15" customHeight="1" x14ac:dyDescent="0.15">
      <c r="A14" s="12"/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</row>
    <row r="15" spans="1:28" ht="15" customHeight="1" x14ac:dyDescent="0.15">
      <c r="A15" s="12"/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</row>
    <row r="16" spans="1:28" ht="15" customHeight="1" x14ac:dyDescent="0.1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" customHeight="1" x14ac:dyDescent="0.15">
      <c r="A17" s="12"/>
      <c r="B17" s="103" t="s">
        <v>41</v>
      </c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2"/>
    </row>
    <row r="18" spans="1:26" ht="15" customHeight="1" x14ac:dyDescent="0.15">
      <c r="A18" s="12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2"/>
    </row>
    <row r="19" spans="1:26" ht="15" customHeight="1" x14ac:dyDescent="0.15">
      <c r="A19" s="12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2"/>
    </row>
    <row r="20" spans="1:26" ht="15" customHeight="1" x14ac:dyDescent="0.15">
      <c r="A20" s="12"/>
      <c r="B20" s="104" t="str">
        <f>CONCATENATE(TEXT(MAX(変更履歴!C3:C7),"0.00"), "版")</f>
        <v>1.00版</v>
      </c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</row>
    <row r="21" spans="1:26" ht="15" customHeight="1" x14ac:dyDescent="0.15">
      <c r="A21" s="12"/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2"/>
    </row>
    <row r="22" spans="1:26" ht="15" customHeight="1" x14ac:dyDescent="0.15">
      <c r="A22" s="12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2"/>
    </row>
    <row r="23" spans="1:26" ht="15" customHeight="1" x14ac:dyDescent="0.15">
      <c r="A23" s="12"/>
      <c r="B23" s="102">
        <v>44956</v>
      </c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2"/>
    </row>
    <row r="24" spans="1:26" ht="15" customHeight="1" x14ac:dyDescent="0.15">
      <c r="A24" s="1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2"/>
    </row>
    <row r="25" spans="1:26" ht="15" customHeight="1" x14ac:dyDescent="0.15">
      <c r="A25" s="12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</row>
    <row r="26" spans="1:26" ht="15" customHeight="1" x14ac:dyDescent="0.15">
      <c r="A26" s="12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</row>
    <row r="27" spans="1:26" ht="15" customHeight="1" x14ac:dyDescent="0.15">
      <c r="A27" s="12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</row>
    <row r="28" spans="1:26" ht="15" customHeight="1" x14ac:dyDescent="0.15">
      <c r="A28" s="12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</row>
    <row r="29" spans="1:26" ht="15" customHeight="1" x14ac:dyDescent="0.15">
      <c r="A29" s="12"/>
      <c r="B29" s="12"/>
      <c r="C29" s="17"/>
      <c r="D29" s="99"/>
      <c r="E29" s="100"/>
      <c r="F29" s="100"/>
      <c r="G29" s="100"/>
      <c r="H29" s="13"/>
      <c r="I29" s="15"/>
      <c r="M29" s="15"/>
    </row>
  </sheetData>
  <mergeCells count="10">
    <mergeCell ref="A1:B2"/>
    <mergeCell ref="C1:C2"/>
    <mergeCell ref="D6:G6"/>
    <mergeCell ref="B7:Y10"/>
    <mergeCell ref="D29:G29"/>
    <mergeCell ref="B23:Y24"/>
    <mergeCell ref="B17:Y19"/>
    <mergeCell ref="B12:Y15"/>
    <mergeCell ref="B20:Y21"/>
    <mergeCell ref="B25:Y28"/>
  </mergeCells>
  <phoneticPr fontId="3"/>
  <pageMargins left="0.78740157480314965" right="0.78740157480314965" top="0.98425196850393704" bottom="0.98425196850393704" header="0.51181102362204722" footer="0.51181102362204722"/>
  <pageSetup paperSize="9" scale="88" fitToHeight="0" orientation="landscape" copies="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25CD2-88A0-4C8C-B1E2-52AC5206311C}">
  <dimension ref="A2:F7"/>
  <sheetViews>
    <sheetView showGridLines="0" workbookViewId="0">
      <selection activeCell="F3" sqref="F3"/>
    </sheetView>
  </sheetViews>
  <sheetFormatPr defaultColWidth="2.625" defaultRowHeight="13.5" x14ac:dyDescent="0.15"/>
  <cols>
    <col min="2" max="2" width="17.25" bestFit="1" customWidth="1"/>
    <col min="3" max="3" width="6.5" bestFit="1" customWidth="1"/>
    <col min="4" max="4" width="13.625" customWidth="1"/>
    <col min="5" max="5" width="7.5" bestFit="1" customWidth="1"/>
    <col min="6" max="6" width="77.375" customWidth="1"/>
  </cols>
  <sheetData>
    <row r="2" spans="1:6" s="38" customFormat="1" ht="15" customHeight="1" x14ac:dyDescent="0.15">
      <c r="A2"/>
      <c r="B2" s="58" t="s">
        <v>0</v>
      </c>
      <c r="C2" s="59" t="s">
        <v>1</v>
      </c>
      <c r="D2" s="58" t="s">
        <v>25</v>
      </c>
      <c r="E2" s="58" t="s">
        <v>2</v>
      </c>
      <c r="F2" s="58" t="s">
        <v>3</v>
      </c>
    </row>
    <row r="3" spans="1:6" s="38" customFormat="1" ht="15" customHeight="1" x14ac:dyDescent="0.15">
      <c r="A3"/>
      <c r="B3" s="65">
        <v>44956</v>
      </c>
      <c r="C3" s="40">
        <v>1</v>
      </c>
      <c r="D3" s="41" t="s">
        <v>11</v>
      </c>
      <c r="E3" s="41" t="s">
        <v>34</v>
      </c>
      <c r="F3" s="41" t="s">
        <v>12</v>
      </c>
    </row>
    <row r="4" spans="1:6" s="38" customFormat="1" ht="15" customHeight="1" x14ac:dyDescent="0.15">
      <c r="A4"/>
      <c r="B4" s="39"/>
      <c r="C4" s="40"/>
      <c r="D4" s="41"/>
      <c r="E4" s="41"/>
      <c r="F4" s="41"/>
    </row>
    <row r="5" spans="1:6" s="38" customFormat="1" ht="15" customHeight="1" x14ac:dyDescent="0.15">
      <c r="A5"/>
      <c r="B5" s="39"/>
      <c r="C5" s="40"/>
      <c r="D5" s="41"/>
      <c r="E5" s="41"/>
      <c r="F5" s="41"/>
    </row>
    <row r="6" spans="1:6" s="38" customFormat="1" ht="15" customHeight="1" x14ac:dyDescent="0.15">
      <c r="A6"/>
      <c r="B6" s="39"/>
      <c r="C6" s="40"/>
      <c r="D6" s="41"/>
      <c r="E6" s="41"/>
      <c r="F6" s="41"/>
    </row>
    <row r="7" spans="1:6" s="38" customFormat="1" ht="15" customHeight="1" x14ac:dyDescent="0.15">
      <c r="A7"/>
      <c r="B7" s="39"/>
      <c r="C7" s="40"/>
      <c r="D7" s="41"/>
      <c r="E7" s="41"/>
      <c r="F7" s="41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cols>
    <col min="1" max="1" width="2.625" customWidth="1"/>
    <col min="2" max="2" width="23.125" bestFit="1" customWidth="1"/>
    <col min="3" max="5" width="10.625" customWidth="1"/>
    <col min="6" max="6" width="15.625" customWidth="1"/>
    <col min="7" max="7" width="78.25" bestFit="1" customWidth="1"/>
  </cols>
  <sheetData>
    <row r="1" spans="1:5" ht="19.5" thickBot="1" x14ac:dyDescent="0.25">
      <c r="A1" s="36" t="s">
        <v>23</v>
      </c>
    </row>
    <row r="2" spans="1:5" x14ac:dyDescent="0.15">
      <c r="B2" s="55" t="s">
        <v>24</v>
      </c>
      <c r="C2" s="56" t="s">
        <v>19</v>
      </c>
      <c r="D2" s="56" t="s">
        <v>20</v>
      </c>
      <c r="E2" s="57" t="s">
        <v>21</v>
      </c>
    </row>
    <row r="3" spans="1:5" ht="14.25" thickBot="1" x14ac:dyDescent="0.2">
      <c r="B3" s="52" t="s">
        <v>40</v>
      </c>
      <c r="C3" s="50">
        <f ca="1">VLOOKUP(B3,$B$8:$D$11,3,FALSE)</f>
        <v>71</v>
      </c>
      <c r="D3" s="50" cm="1">
        <f t="array" aca="1" ref="D3" ca="1">COUNTIF(INDIRECT(B3&amp;"!$K$3:$K$1024"),"OK")-SUMPRODUCT((OFFSET(INDIRECT(B3&amp;"!$K$3:$K$1024"),,)="OK")*(OFFSET(INDIRECT(B3&amp;"!$M$3:$M$1024"),,)&lt;&gt;""))</f>
        <v>71</v>
      </c>
      <c r="E3" s="53">
        <f ca="1">C3-D3</f>
        <v>0</v>
      </c>
    </row>
    <row r="4" spans="1:5" ht="15" thickTop="1" thickBot="1" x14ac:dyDescent="0.2">
      <c r="B4" s="54" t="s">
        <v>22</v>
      </c>
      <c r="C4" s="48">
        <f ca="1">SUM(C3:C3)</f>
        <v>71</v>
      </c>
      <c r="D4" s="48">
        <f ca="1">SUM(D3:D3)</f>
        <v>71</v>
      </c>
      <c r="E4" s="49">
        <f ca="1">SUM(E3:E3)</f>
        <v>0</v>
      </c>
    </row>
    <row r="5" spans="1:5" ht="14.25" thickBot="1" x14ac:dyDescent="0.2"/>
    <row r="6" spans="1:5" x14ac:dyDescent="0.15">
      <c r="B6" s="106" t="s">
        <v>27</v>
      </c>
      <c r="C6" s="107"/>
      <c r="D6" s="108"/>
    </row>
    <row r="7" spans="1:5" ht="14.25" thickBot="1" x14ac:dyDescent="0.2">
      <c r="B7" s="109"/>
      <c r="C7" s="110"/>
      <c r="D7" s="111"/>
    </row>
    <row r="8" spans="1:5" ht="14.25" thickBot="1" x14ac:dyDescent="0.2">
      <c r="B8" s="112" t="s">
        <v>40</v>
      </c>
      <c r="C8" s="44" t="s">
        <v>28</v>
      </c>
      <c r="D8" s="45">
        <f ca="1">SUM(D9:D11)</f>
        <v>71</v>
      </c>
    </row>
    <row r="9" spans="1:5" ht="14.25" thickTop="1" x14ac:dyDescent="0.15">
      <c r="B9" s="113"/>
      <c r="C9" s="37" t="s">
        <v>29</v>
      </c>
      <c r="D9" s="46" cm="1">
        <f t="array" aca="1" ref="D9" ca="1">COUNTIF(INDIRECT(B8&amp;"!$E$3:$E$1024"),C9)-SUMPRODUCT((OFFSET(INDIRECT(B8&amp;"!$E$3:$E$1024"),,)=C9)*(OFFSET(INDIRECT(B8&amp;"!$M$3:$M$1024"),,)&lt;&gt;""))</f>
        <v>48</v>
      </c>
    </row>
    <row r="10" spans="1:5" x14ac:dyDescent="0.15">
      <c r="B10" s="113"/>
      <c r="C10" s="35" t="s">
        <v>30</v>
      </c>
      <c r="D10" s="47" cm="1">
        <f t="array" aca="1" ref="D10" ca="1">COUNTIF(INDIRECT(B8&amp;"!$E$3:$E$1024"),C10)-SUMPRODUCT((OFFSET(INDIRECT(B8&amp;"!$E$3:$E$1024"),,)=C10)*(OFFSET(INDIRECT(B8&amp;"!$M$3:$M$1024"),,)&lt;&gt;""))</f>
        <v>23</v>
      </c>
    </row>
    <row r="11" spans="1:5" ht="14.25" thickBot="1" x14ac:dyDescent="0.2">
      <c r="B11" s="114"/>
      <c r="C11" s="48" t="s">
        <v>31</v>
      </c>
      <c r="D11" s="49" cm="1">
        <f t="array" aca="1" ref="D11" ca="1">COUNTIF(INDIRECT(B8&amp;"!$E$3:$E$1024"),C11)-SUMPRODUCT((OFFSET(INDIRECT(B8&amp;"!$E$3:$E$1024"),,)=C11)*(OFFSET(INDIRECT(B8&amp;"!$M$3:$M$1024"),,)&lt;&gt;""))</f>
        <v>0</v>
      </c>
    </row>
  </sheetData>
  <mergeCells count="2">
    <mergeCell ref="B6:D7"/>
    <mergeCell ref="B8:B11"/>
  </mergeCells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3"/>
  <sheetViews>
    <sheetView tabSelected="1" view="pageBreakPreview" zoomScale="115" zoomScaleNormal="100" zoomScaleSheetLayoutView="115" zoomScalePageLayoutView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6.5" defaultRowHeight="10.5" x14ac:dyDescent="0.15"/>
  <cols>
    <col min="1" max="1" width="18.375" style="19" bestFit="1" customWidth="1"/>
    <col min="2" max="2" width="19.75" style="19" customWidth="1"/>
    <col min="3" max="3" width="39.75" style="19" bestFit="1" customWidth="1"/>
    <col min="4" max="4" width="21.625" style="19" customWidth="1"/>
    <col min="5" max="5" width="7.5" style="19" bestFit="1" customWidth="1"/>
    <col min="6" max="6" width="7.375" style="19" hidden="1" customWidth="1"/>
    <col min="7" max="7" width="41.25" style="19" customWidth="1"/>
    <col min="8" max="8" width="44.25" style="19" customWidth="1"/>
    <col min="9" max="9" width="10.625" style="1" customWidth="1"/>
    <col min="10" max="11" width="10.625" style="21" customWidth="1"/>
    <col min="12" max="12" width="24.625" style="19" customWidth="1"/>
    <col min="13" max="13" width="25.375" style="19" customWidth="1"/>
    <col min="14" max="17" width="6.5" style="20"/>
    <col min="18" max="18" width="13.625" style="20" customWidth="1"/>
    <col min="19" max="16384" width="6.5" style="20"/>
  </cols>
  <sheetData>
    <row r="1" spans="1:20" s="24" customFormat="1" ht="33" customHeight="1" thickBot="1" x14ac:dyDescent="0.2">
      <c r="A1" s="22" t="str">
        <f ca="1">MID(CELL("filename",$A$1),FIND("]",CELL("filename",$A$1))+3,31)</f>
        <v>結合試験</v>
      </c>
      <c r="B1" s="23"/>
      <c r="C1" s="23"/>
      <c r="D1" s="23"/>
      <c r="E1" s="23"/>
      <c r="F1" s="23"/>
      <c r="G1" s="23"/>
      <c r="H1" s="23"/>
      <c r="I1" s="1"/>
      <c r="J1" s="21"/>
      <c r="K1" s="30" t="s">
        <v>33</v>
      </c>
      <c r="L1" s="23"/>
      <c r="M1" s="23"/>
      <c r="O1" s="25"/>
      <c r="P1" s="25"/>
      <c r="R1" s="31" t="s">
        <v>16</v>
      </c>
      <c r="S1" s="31">
        <f ca="1">VALUE(MID(CELL("filename",$A$1),FIND("]",CELL("filename",$A$1))+1,2))</f>
        <v>1</v>
      </c>
      <c r="T1" s="32"/>
    </row>
    <row r="2" spans="1:20" s="24" customFormat="1" ht="14.25" thickBot="1" x14ac:dyDescent="0.2">
      <c r="A2" s="60" t="s">
        <v>4</v>
      </c>
      <c r="B2" s="61" t="s">
        <v>5</v>
      </c>
      <c r="C2" s="61" t="s">
        <v>6</v>
      </c>
      <c r="D2" s="62" t="s">
        <v>7</v>
      </c>
      <c r="E2" s="62" t="s">
        <v>26</v>
      </c>
      <c r="F2" s="61" t="s">
        <v>32</v>
      </c>
      <c r="G2" s="61" t="s">
        <v>39</v>
      </c>
      <c r="H2" s="61" t="s">
        <v>38</v>
      </c>
      <c r="I2" s="63" t="s">
        <v>8</v>
      </c>
      <c r="J2" s="64" t="s">
        <v>9</v>
      </c>
      <c r="K2" s="61" t="s">
        <v>10</v>
      </c>
      <c r="L2" s="61" t="s">
        <v>17</v>
      </c>
      <c r="M2" s="61" t="s">
        <v>18</v>
      </c>
      <c r="O2" s="25"/>
      <c r="P2" s="25"/>
      <c r="R2" s="33" t="s">
        <v>13</v>
      </c>
      <c r="S2" s="33" t="s">
        <v>14</v>
      </c>
      <c r="T2" s="33" t="s">
        <v>15</v>
      </c>
    </row>
    <row r="3" spans="1:20" s="25" customFormat="1" ht="63" x14ac:dyDescent="0.15">
      <c r="A3" s="92" t="str">
        <f ca="1">IF(B3&lt;&gt;"",表紙!$AB$1&amp;"-"&amp;"結合-"&amp;TEXT($S$1,"00")&amp;"-"&amp;TEXT(R3,"00")&amp;"-"&amp;TEXT(S3,"00")&amp;"-"&amp;TEXT(T3,"０00"),"")</f>
        <v>最適化-結合-01-01-01-001</v>
      </c>
      <c r="B3" s="29" t="s">
        <v>48</v>
      </c>
      <c r="C3" s="29" t="s">
        <v>43</v>
      </c>
      <c r="D3" s="29" t="s">
        <v>71</v>
      </c>
      <c r="E3" s="42" t="s">
        <v>44</v>
      </c>
      <c r="F3" s="42"/>
      <c r="G3" s="90" t="s">
        <v>106</v>
      </c>
      <c r="H3" s="90" t="s">
        <v>102</v>
      </c>
      <c r="I3" s="83">
        <v>44958</v>
      </c>
      <c r="J3" s="84" t="s">
        <v>320</v>
      </c>
      <c r="K3" s="94" t="s">
        <v>321</v>
      </c>
      <c r="L3" s="29"/>
      <c r="M3" s="29"/>
      <c r="R3" s="33">
        <f>IF(ROW()&lt;&gt;3,IF(B2&lt;&gt;B3,#REF!+1,#REF!),1)</f>
        <v>1</v>
      </c>
      <c r="S3" s="33">
        <f>IF(B2=B3,IF(C2&lt;&gt;C3,#REF!+1,#REF!),1)</f>
        <v>1</v>
      </c>
      <c r="T3" s="33">
        <f>IF(B2&lt;&gt;B3,1,IF(C2=C3,#REF!+1,1))</f>
        <v>1</v>
      </c>
    </row>
    <row r="4" spans="1:20" s="25" customFormat="1" ht="52.5" x14ac:dyDescent="0.15">
      <c r="A4" s="51" t="str">
        <f ca="1">IF(B4&lt;&gt;"",表紙!$AB$1&amp;"-"&amp;"結合-"&amp;TEXT($S$1,"00")&amp;"-"&amp;TEXT(R4,"00")&amp;"-"&amp;TEXT(S4,"00")&amp;"-"&amp;TEXT(T4,"０00"),"")</f>
        <v>最適化-結合-01-01-01-002</v>
      </c>
      <c r="B4" s="26" t="s">
        <v>48</v>
      </c>
      <c r="C4" s="26" t="s">
        <v>43</v>
      </c>
      <c r="D4" s="26" t="s">
        <v>72</v>
      </c>
      <c r="E4" s="43" t="s">
        <v>44</v>
      </c>
      <c r="F4" s="43"/>
      <c r="G4" s="91" t="s">
        <v>107</v>
      </c>
      <c r="H4" s="93" t="s">
        <v>102</v>
      </c>
      <c r="I4" s="83">
        <v>44958</v>
      </c>
      <c r="J4" s="84" t="s">
        <v>320</v>
      </c>
      <c r="K4" s="94" t="s">
        <v>321</v>
      </c>
      <c r="L4" s="26"/>
      <c r="M4" s="26"/>
      <c r="R4" s="33">
        <f t="shared" ref="R4:R67" si="0">IF(ROW()&lt;&gt;3,IF(B3&lt;&gt;B4,R3+1,R3),1)</f>
        <v>1</v>
      </c>
      <c r="S4" s="33">
        <f t="shared" ref="S4:S67" si="1">IF(B3=B4,IF(C3&lt;&gt;C4,S3+1,S3),1)</f>
        <v>1</v>
      </c>
      <c r="T4" s="33">
        <f t="shared" ref="T4:T67" si="2">IF(B3&lt;&gt;B4,1,IF(C3=C4,T3+1,1))</f>
        <v>2</v>
      </c>
    </row>
    <row r="5" spans="1:20" s="25" customFormat="1" ht="52.5" x14ac:dyDescent="0.15">
      <c r="A5" s="51" t="str">
        <f ca="1">IF(B5&lt;&gt;"",表紙!$AB$1&amp;"-"&amp;"結合-"&amp;TEXT($S$1,"00")&amp;"-"&amp;TEXT(R5,"00")&amp;"-"&amp;TEXT(S5,"00")&amp;"-"&amp;TEXT(T5,"０00"),"")</f>
        <v>最適化-結合-01-01-01-003</v>
      </c>
      <c r="B5" s="26" t="s">
        <v>47</v>
      </c>
      <c r="C5" s="26" t="s">
        <v>43</v>
      </c>
      <c r="D5" s="26" t="s">
        <v>73</v>
      </c>
      <c r="E5" s="43" t="s">
        <v>44</v>
      </c>
      <c r="F5" s="43"/>
      <c r="G5" s="91" t="s">
        <v>108</v>
      </c>
      <c r="H5" s="93" t="s">
        <v>102</v>
      </c>
      <c r="I5" s="83">
        <v>44958</v>
      </c>
      <c r="J5" s="84" t="s">
        <v>320</v>
      </c>
      <c r="K5" s="94" t="s">
        <v>321</v>
      </c>
      <c r="L5" s="26"/>
      <c r="M5" s="26"/>
      <c r="R5" s="33">
        <f t="shared" si="0"/>
        <v>1</v>
      </c>
      <c r="S5" s="33">
        <f t="shared" si="1"/>
        <v>1</v>
      </c>
      <c r="T5" s="33">
        <f t="shared" si="2"/>
        <v>3</v>
      </c>
    </row>
    <row r="6" spans="1:20" s="25" customFormat="1" ht="52.5" x14ac:dyDescent="0.15">
      <c r="A6" s="51" t="str">
        <f ca="1">IF(B6&lt;&gt;"",表紙!$AB$1&amp;"-"&amp;"結合-"&amp;TEXT($S$1,"00")&amp;"-"&amp;TEXT(R6,"00")&amp;"-"&amp;TEXT(S6,"00")&amp;"-"&amp;TEXT(T6,"０00"),"")</f>
        <v>最適化-結合-01-01-01-004</v>
      </c>
      <c r="B6" s="26" t="s">
        <v>47</v>
      </c>
      <c r="C6" s="26" t="s">
        <v>43</v>
      </c>
      <c r="D6" s="26" t="s">
        <v>74</v>
      </c>
      <c r="E6" s="43" t="s">
        <v>44</v>
      </c>
      <c r="F6" s="43"/>
      <c r="G6" s="91" t="s">
        <v>103</v>
      </c>
      <c r="H6" s="93" t="s">
        <v>102</v>
      </c>
      <c r="I6" s="83">
        <v>44958</v>
      </c>
      <c r="J6" s="84" t="s">
        <v>320</v>
      </c>
      <c r="K6" s="94" t="s">
        <v>321</v>
      </c>
      <c r="L6" s="26"/>
      <c r="M6" s="26"/>
      <c r="R6" s="33">
        <f t="shared" si="0"/>
        <v>1</v>
      </c>
      <c r="S6" s="33">
        <f t="shared" si="1"/>
        <v>1</v>
      </c>
      <c r="T6" s="33">
        <f t="shared" si="2"/>
        <v>4</v>
      </c>
    </row>
    <row r="7" spans="1:20" s="25" customFormat="1" ht="52.5" x14ac:dyDescent="0.15">
      <c r="A7" s="51" t="str">
        <f ca="1">IF(B7&lt;&gt;"",表紙!$AB$1&amp;"-"&amp;"結合-"&amp;TEXT($S$1,"00")&amp;"-"&amp;TEXT(R7,"00")&amp;"-"&amp;TEXT(S7,"00")&amp;"-"&amp;TEXT(T7,"０00"),"")</f>
        <v>最適化-結合-01-01-01-005</v>
      </c>
      <c r="B7" s="26" t="s">
        <v>47</v>
      </c>
      <c r="C7" s="26" t="s">
        <v>43</v>
      </c>
      <c r="D7" s="26" t="s">
        <v>75</v>
      </c>
      <c r="E7" s="43" t="s">
        <v>44</v>
      </c>
      <c r="F7" s="43"/>
      <c r="G7" s="91" t="s">
        <v>104</v>
      </c>
      <c r="H7" s="91" t="s">
        <v>102</v>
      </c>
      <c r="I7" s="83">
        <v>44958</v>
      </c>
      <c r="J7" s="84" t="s">
        <v>320</v>
      </c>
      <c r="K7" s="94" t="s">
        <v>321</v>
      </c>
      <c r="L7" s="26"/>
      <c r="M7" s="26"/>
      <c r="R7" s="33">
        <f t="shared" si="0"/>
        <v>1</v>
      </c>
      <c r="S7" s="33">
        <f t="shared" si="1"/>
        <v>1</v>
      </c>
      <c r="T7" s="33">
        <f t="shared" si="2"/>
        <v>5</v>
      </c>
    </row>
    <row r="8" spans="1:20" s="25" customFormat="1" ht="52.5" x14ac:dyDescent="0.15">
      <c r="A8" s="51" t="str">
        <f ca="1">IF(B8&lt;&gt;"",表紙!$AB$1&amp;"-"&amp;"結合-"&amp;TEXT($S$1,"00")&amp;"-"&amp;TEXT(R8,"00")&amp;"-"&amp;TEXT(S8,"00")&amp;"-"&amp;TEXT(T8,"０00"),"")</f>
        <v>最適化-結合-01-01-01-006</v>
      </c>
      <c r="B8" s="26" t="s">
        <v>47</v>
      </c>
      <c r="C8" s="26" t="s">
        <v>43</v>
      </c>
      <c r="D8" s="26" t="s">
        <v>76</v>
      </c>
      <c r="E8" s="43" t="s">
        <v>44</v>
      </c>
      <c r="F8" s="43"/>
      <c r="G8" s="91" t="s">
        <v>105</v>
      </c>
      <c r="H8" s="91" t="s">
        <v>102</v>
      </c>
      <c r="I8" s="83">
        <v>44958</v>
      </c>
      <c r="J8" s="84" t="s">
        <v>320</v>
      </c>
      <c r="K8" s="94" t="s">
        <v>321</v>
      </c>
      <c r="L8" s="26"/>
      <c r="M8" s="26"/>
      <c r="R8" s="33">
        <f t="shared" si="0"/>
        <v>1</v>
      </c>
      <c r="S8" s="33">
        <f t="shared" si="1"/>
        <v>1</v>
      </c>
      <c r="T8" s="33">
        <f t="shared" si="2"/>
        <v>6</v>
      </c>
    </row>
    <row r="9" spans="1:20" s="25" customFormat="1" ht="52.5" x14ac:dyDescent="0.15">
      <c r="A9" s="51" t="str">
        <f ca="1">IF(B9&lt;&gt;"",表紙!$AB$1&amp;"-"&amp;"結合-"&amp;TEXT($S$1,"00")&amp;"-"&amp;TEXT(R9,"00")&amp;"-"&amp;TEXT(S9,"00")&amp;"-"&amp;TEXT(T9,"０00"),"")</f>
        <v>最適化-結合-01-01-02-001</v>
      </c>
      <c r="B9" s="26" t="s">
        <v>47</v>
      </c>
      <c r="C9" s="26" t="s">
        <v>79</v>
      </c>
      <c r="D9" s="34" t="s">
        <v>50</v>
      </c>
      <c r="E9" s="43" t="s">
        <v>44</v>
      </c>
      <c r="F9" s="43"/>
      <c r="G9" s="91" t="s">
        <v>214</v>
      </c>
      <c r="H9" s="91" t="s">
        <v>102</v>
      </c>
      <c r="I9" s="66">
        <v>44958</v>
      </c>
      <c r="J9" s="84" t="s">
        <v>320</v>
      </c>
      <c r="K9" s="94" t="s">
        <v>321</v>
      </c>
      <c r="L9" s="26"/>
      <c r="M9" s="26"/>
      <c r="R9" s="33">
        <f t="shared" si="0"/>
        <v>1</v>
      </c>
      <c r="S9" s="33">
        <f t="shared" si="1"/>
        <v>2</v>
      </c>
      <c r="T9" s="33">
        <f t="shared" si="2"/>
        <v>1</v>
      </c>
    </row>
    <row r="10" spans="1:20" s="25" customFormat="1" ht="52.5" x14ac:dyDescent="0.15">
      <c r="A10" s="51" t="str">
        <f ca="1">IF(B10&lt;&gt;"",表紙!$AB$1&amp;"-"&amp;"結合-"&amp;TEXT($S$1,"00")&amp;"-"&amp;TEXT(R10,"00")&amp;"-"&amp;TEXT(S10,"00")&amp;"-"&amp;TEXT(T10,"０00"),"")</f>
        <v>最適化-結合-01-01-02-002</v>
      </c>
      <c r="B10" s="26" t="s">
        <v>47</v>
      </c>
      <c r="C10" s="26" t="s">
        <v>79</v>
      </c>
      <c r="D10" s="34" t="s">
        <v>51</v>
      </c>
      <c r="E10" s="43" t="s">
        <v>44</v>
      </c>
      <c r="F10" s="43"/>
      <c r="G10" s="91" t="s">
        <v>215</v>
      </c>
      <c r="H10" s="91" t="s">
        <v>102</v>
      </c>
      <c r="I10" s="66">
        <v>44958</v>
      </c>
      <c r="J10" s="84" t="s">
        <v>320</v>
      </c>
      <c r="K10" s="94" t="s">
        <v>321</v>
      </c>
      <c r="L10" s="26"/>
      <c r="M10" s="26"/>
      <c r="R10" s="33">
        <f t="shared" si="0"/>
        <v>1</v>
      </c>
      <c r="S10" s="33">
        <f t="shared" si="1"/>
        <v>2</v>
      </c>
      <c r="T10" s="33">
        <f t="shared" si="2"/>
        <v>2</v>
      </c>
    </row>
    <row r="11" spans="1:20" s="25" customFormat="1" ht="52.5" x14ac:dyDescent="0.15">
      <c r="A11" s="51" t="str">
        <f ca="1">IF(B11&lt;&gt;"",表紙!$AB$1&amp;"-"&amp;"結合-"&amp;TEXT($S$1,"00")&amp;"-"&amp;TEXT(R11,"00")&amp;"-"&amp;TEXT(S11,"00")&amp;"-"&amp;TEXT(T11,"０00"),"")</f>
        <v>最適化-結合-01-01-02-003</v>
      </c>
      <c r="B11" s="26" t="s">
        <v>47</v>
      </c>
      <c r="C11" s="26" t="s">
        <v>79</v>
      </c>
      <c r="D11" s="34" t="s">
        <v>52</v>
      </c>
      <c r="E11" s="43" t="s">
        <v>44</v>
      </c>
      <c r="F11" s="43"/>
      <c r="G11" s="91" t="s">
        <v>216</v>
      </c>
      <c r="H11" s="91" t="s">
        <v>102</v>
      </c>
      <c r="I11" s="66">
        <v>44958</v>
      </c>
      <c r="J11" s="84" t="s">
        <v>320</v>
      </c>
      <c r="K11" s="94" t="s">
        <v>321</v>
      </c>
      <c r="L11" s="26"/>
      <c r="M11" s="26"/>
      <c r="R11" s="33">
        <f t="shared" si="0"/>
        <v>1</v>
      </c>
      <c r="S11" s="33">
        <f t="shared" si="1"/>
        <v>2</v>
      </c>
      <c r="T11" s="33">
        <f t="shared" si="2"/>
        <v>3</v>
      </c>
    </row>
    <row r="12" spans="1:20" s="25" customFormat="1" ht="52.5" x14ac:dyDescent="0.15">
      <c r="A12" s="51" t="str">
        <f ca="1">IF(B12&lt;&gt;"",表紙!$AB$1&amp;"-"&amp;"結合-"&amp;TEXT($S$1,"00")&amp;"-"&amp;TEXT(R12,"00")&amp;"-"&amp;TEXT(S12,"00")&amp;"-"&amp;TEXT(T12,"０00"),"")</f>
        <v>最適化-結合-01-01-02-004</v>
      </c>
      <c r="B12" s="26" t="s">
        <v>47</v>
      </c>
      <c r="C12" s="26" t="s">
        <v>79</v>
      </c>
      <c r="D12" s="34" t="s">
        <v>53</v>
      </c>
      <c r="E12" s="43" t="s">
        <v>44</v>
      </c>
      <c r="F12" s="43"/>
      <c r="G12" s="91" t="s">
        <v>217</v>
      </c>
      <c r="H12" s="91" t="s">
        <v>102</v>
      </c>
      <c r="I12" s="66">
        <v>44958</v>
      </c>
      <c r="J12" s="84" t="s">
        <v>320</v>
      </c>
      <c r="K12" s="94" t="s">
        <v>321</v>
      </c>
      <c r="L12" s="26"/>
      <c r="M12" s="26"/>
      <c r="R12" s="33">
        <f t="shared" si="0"/>
        <v>1</v>
      </c>
      <c r="S12" s="33">
        <f t="shared" si="1"/>
        <v>2</v>
      </c>
      <c r="T12" s="33">
        <f t="shared" si="2"/>
        <v>4</v>
      </c>
    </row>
    <row r="13" spans="1:20" s="25" customFormat="1" ht="52.5" x14ac:dyDescent="0.15">
      <c r="A13" s="51" t="str">
        <f ca="1">IF(B13&lt;&gt;"",表紙!$AB$1&amp;"-"&amp;"結合-"&amp;TEXT($S$1,"00")&amp;"-"&amp;TEXT(R13,"00")&amp;"-"&amp;TEXT(S13,"00")&amp;"-"&amp;TEXT(T13,"０00"),"")</f>
        <v>最適化-結合-01-01-02-005</v>
      </c>
      <c r="B13" s="26" t="s">
        <v>47</v>
      </c>
      <c r="C13" s="26" t="s">
        <v>79</v>
      </c>
      <c r="D13" s="34" t="s">
        <v>54</v>
      </c>
      <c r="E13" s="43" t="s">
        <v>44</v>
      </c>
      <c r="F13" s="43"/>
      <c r="G13" s="91" t="s">
        <v>218</v>
      </c>
      <c r="H13" s="91" t="s">
        <v>102</v>
      </c>
      <c r="I13" s="66">
        <v>44958</v>
      </c>
      <c r="J13" s="84" t="s">
        <v>320</v>
      </c>
      <c r="K13" s="94" t="s">
        <v>321</v>
      </c>
      <c r="L13" s="26"/>
      <c r="M13" s="26"/>
      <c r="R13" s="33">
        <f t="shared" si="0"/>
        <v>1</v>
      </c>
      <c r="S13" s="33">
        <f t="shared" si="1"/>
        <v>2</v>
      </c>
      <c r="T13" s="33">
        <f t="shared" si="2"/>
        <v>5</v>
      </c>
    </row>
    <row r="14" spans="1:20" s="25" customFormat="1" ht="52.5" x14ac:dyDescent="0.15">
      <c r="A14" s="51" t="str">
        <f ca="1">IF(B14&lt;&gt;"",表紙!$AB$1&amp;"-"&amp;"結合-"&amp;TEXT($S$1,"00")&amp;"-"&amp;TEXT(R14,"00")&amp;"-"&amp;TEXT(S14,"00")&amp;"-"&amp;TEXT(T14,"０00"),"")</f>
        <v>最適化-結合-01-01-02-006</v>
      </c>
      <c r="B14" s="26" t="s">
        <v>47</v>
      </c>
      <c r="C14" s="26" t="s">
        <v>79</v>
      </c>
      <c r="D14" s="34" t="s">
        <v>55</v>
      </c>
      <c r="E14" s="43" t="s">
        <v>44</v>
      </c>
      <c r="F14" s="43"/>
      <c r="G14" s="91" t="s">
        <v>219</v>
      </c>
      <c r="H14" s="91" t="s">
        <v>102</v>
      </c>
      <c r="I14" s="66">
        <v>44958</v>
      </c>
      <c r="J14" s="84" t="s">
        <v>320</v>
      </c>
      <c r="K14" s="94" t="s">
        <v>321</v>
      </c>
      <c r="L14" s="26"/>
      <c r="M14" s="26"/>
      <c r="R14" s="33">
        <f t="shared" si="0"/>
        <v>1</v>
      </c>
      <c r="S14" s="33">
        <f t="shared" si="1"/>
        <v>2</v>
      </c>
      <c r="T14" s="33">
        <f t="shared" si="2"/>
        <v>6</v>
      </c>
    </row>
    <row r="15" spans="1:20" s="25" customFormat="1" ht="52.5" x14ac:dyDescent="0.15">
      <c r="A15" s="51" t="str">
        <f ca="1">IF(B15&lt;&gt;"",表紙!$AB$1&amp;"-"&amp;"結合-"&amp;TEXT($S$1,"00")&amp;"-"&amp;TEXT(R15,"00")&amp;"-"&amp;TEXT(S15,"00")&amp;"-"&amp;TEXT(T15,"０00"),"")</f>
        <v>最適化-結合-01-01-02-007</v>
      </c>
      <c r="B15" s="26" t="s">
        <v>47</v>
      </c>
      <c r="C15" s="26" t="s">
        <v>79</v>
      </c>
      <c r="D15" s="34" t="s">
        <v>56</v>
      </c>
      <c r="E15" s="43" t="s">
        <v>44</v>
      </c>
      <c r="F15" s="43"/>
      <c r="G15" s="91" t="s">
        <v>220</v>
      </c>
      <c r="H15" s="91" t="s">
        <v>102</v>
      </c>
      <c r="I15" s="66">
        <v>44958</v>
      </c>
      <c r="J15" s="84" t="s">
        <v>320</v>
      </c>
      <c r="K15" s="94" t="s">
        <v>321</v>
      </c>
      <c r="L15" s="26"/>
      <c r="M15" s="26"/>
      <c r="R15" s="33">
        <f t="shared" si="0"/>
        <v>1</v>
      </c>
      <c r="S15" s="33">
        <f t="shared" si="1"/>
        <v>2</v>
      </c>
      <c r="T15" s="33">
        <f t="shared" si="2"/>
        <v>7</v>
      </c>
    </row>
    <row r="16" spans="1:20" s="25" customFormat="1" ht="52.5" x14ac:dyDescent="0.15">
      <c r="A16" s="51" t="str">
        <f ca="1">IF(B16&lt;&gt;"",表紙!$AB$1&amp;"-"&amp;"結合-"&amp;TEXT($S$1,"00")&amp;"-"&amp;TEXT(R16,"00")&amp;"-"&amp;TEXT(S16,"00")&amp;"-"&amp;TEXT(T16,"０00"),"")</f>
        <v>最適化-結合-01-01-02-008</v>
      </c>
      <c r="B16" s="26" t="s">
        <v>47</v>
      </c>
      <c r="C16" s="26" t="s">
        <v>79</v>
      </c>
      <c r="D16" s="26" t="s">
        <v>57</v>
      </c>
      <c r="E16" s="43" t="s">
        <v>44</v>
      </c>
      <c r="F16" s="43"/>
      <c r="G16" s="91" t="s">
        <v>221</v>
      </c>
      <c r="H16" s="91" t="s">
        <v>102</v>
      </c>
      <c r="I16" s="66">
        <v>44958</v>
      </c>
      <c r="J16" s="84" t="s">
        <v>320</v>
      </c>
      <c r="K16" s="94" t="s">
        <v>321</v>
      </c>
      <c r="L16" s="26"/>
      <c r="M16" s="26"/>
      <c r="R16" s="33">
        <f t="shared" si="0"/>
        <v>1</v>
      </c>
      <c r="S16" s="33">
        <f t="shared" si="1"/>
        <v>2</v>
      </c>
      <c r="T16" s="33">
        <f t="shared" si="2"/>
        <v>8</v>
      </c>
    </row>
    <row r="17" spans="1:20" s="25" customFormat="1" ht="52.5" x14ac:dyDescent="0.15">
      <c r="A17" s="51" t="str">
        <f ca="1">IF(B17&lt;&gt;"",表紙!$AB$1&amp;"-"&amp;"結合-"&amp;TEXT($S$1,"00")&amp;"-"&amp;TEXT(R17,"00")&amp;"-"&amp;TEXT(S17,"00")&amp;"-"&amp;TEXT(T17,"０00"),"")</f>
        <v>最適化-結合-01-02-01-001</v>
      </c>
      <c r="B17" s="26" t="s">
        <v>80</v>
      </c>
      <c r="C17" s="26" t="s">
        <v>82</v>
      </c>
      <c r="D17" s="26" t="s">
        <v>150</v>
      </c>
      <c r="E17" s="43" t="s">
        <v>45</v>
      </c>
      <c r="F17" s="43"/>
      <c r="G17" s="91" t="s">
        <v>222</v>
      </c>
      <c r="H17" s="91" t="s">
        <v>169</v>
      </c>
      <c r="I17" s="83">
        <v>44958</v>
      </c>
      <c r="J17" s="84" t="s">
        <v>320</v>
      </c>
      <c r="K17" s="94" t="s">
        <v>321</v>
      </c>
      <c r="L17" s="26"/>
      <c r="M17" s="26"/>
      <c r="R17" s="33">
        <f t="shared" si="0"/>
        <v>2</v>
      </c>
      <c r="S17" s="33">
        <f t="shared" si="1"/>
        <v>1</v>
      </c>
      <c r="T17" s="33">
        <f t="shared" si="2"/>
        <v>1</v>
      </c>
    </row>
    <row r="18" spans="1:20" s="25" customFormat="1" ht="52.5" x14ac:dyDescent="0.15">
      <c r="A18" s="51" t="str">
        <f ca="1">IF(B18&lt;&gt;"",表紙!$AB$1&amp;"-"&amp;"結合-"&amp;TEXT($S$1,"00")&amp;"-"&amp;TEXT(R18,"00")&amp;"-"&amp;TEXT(S18,"00")&amp;"-"&amp;TEXT(T18,"０00"),"")</f>
        <v>最適化-結合-01-02-01-002</v>
      </c>
      <c r="B18" s="26" t="s">
        <v>80</v>
      </c>
      <c r="C18" s="26" t="s">
        <v>82</v>
      </c>
      <c r="D18" s="26" t="s">
        <v>149</v>
      </c>
      <c r="E18" s="43" t="s">
        <v>45</v>
      </c>
      <c r="F18" s="43"/>
      <c r="G18" s="91" t="s">
        <v>223</v>
      </c>
      <c r="H18" s="91" t="s">
        <v>169</v>
      </c>
      <c r="I18" s="83">
        <v>44958</v>
      </c>
      <c r="J18" s="84" t="s">
        <v>320</v>
      </c>
      <c r="K18" s="94" t="s">
        <v>321</v>
      </c>
      <c r="L18" s="26"/>
      <c r="M18" s="26"/>
      <c r="R18" s="33">
        <f t="shared" si="0"/>
        <v>2</v>
      </c>
      <c r="S18" s="33">
        <f t="shared" si="1"/>
        <v>1</v>
      </c>
      <c r="T18" s="33">
        <f t="shared" si="2"/>
        <v>2</v>
      </c>
    </row>
    <row r="19" spans="1:20" s="25" customFormat="1" ht="52.5" x14ac:dyDescent="0.15">
      <c r="A19" s="51" t="str">
        <f ca="1">IF(B19&lt;&gt;"",表紙!$AB$1&amp;"-"&amp;"結合-"&amp;TEXT($S$1,"00")&amp;"-"&amp;TEXT(R19,"00")&amp;"-"&amp;TEXT(S19,"00")&amp;"-"&amp;TEXT(T19,"０00"),"")</f>
        <v>最適化-結合-01-02-01-003</v>
      </c>
      <c r="B19" s="26" t="s">
        <v>80</v>
      </c>
      <c r="C19" s="26" t="s">
        <v>82</v>
      </c>
      <c r="D19" s="26" t="s">
        <v>151</v>
      </c>
      <c r="E19" s="43" t="s">
        <v>45</v>
      </c>
      <c r="F19" s="43"/>
      <c r="G19" s="91" t="s">
        <v>224</v>
      </c>
      <c r="H19" s="91" t="s">
        <v>169</v>
      </c>
      <c r="I19" s="83">
        <v>44958</v>
      </c>
      <c r="J19" s="84" t="s">
        <v>320</v>
      </c>
      <c r="K19" s="94" t="s">
        <v>321</v>
      </c>
      <c r="L19" s="26"/>
      <c r="M19" s="26"/>
      <c r="R19" s="33">
        <f t="shared" si="0"/>
        <v>2</v>
      </c>
      <c r="S19" s="33">
        <f t="shared" si="1"/>
        <v>1</v>
      </c>
      <c r="T19" s="33">
        <f t="shared" si="2"/>
        <v>3</v>
      </c>
    </row>
    <row r="20" spans="1:20" s="25" customFormat="1" ht="52.5" x14ac:dyDescent="0.15">
      <c r="A20" s="51" t="str">
        <f ca="1">IF(B20&lt;&gt;"",表紙!$AB$1&amp;"-"&amp;"結合-"&amp;TEXT($S$1,"00")&amp;"-"&amp;TEXT(R20,"00")&amp;"-"&amp;TEXT(S20,"00")&amp;"-"&amp;TEXT(T20,"０00"),"")</f>
        <v>最適化-結合-01-02-01-004</v>
      </c>
      <c r="B20" s="26" t="s">
        <v>80</v>
      </c>
      <c r="C20" s="26" t="s">
        <v>82</v>
      </c>
      <c r="D20" s="26" t="s">
        <v>83</v>
      </c>
      <c r="E20" s="43" t="s">
        <v>45</v>
      </c>
      <c r="F20" s="43"/>
      <c r="G20" s="91" t="s">
        <v>225</v>
      </c>
      <c r="H20" s="91" t="s">
        <v>169</v>
      </c>
      <c r="I20" s="83">
        <v>44958</v>
      </c>
      <c r="J20" s="84" t="s">
        <v>320</v>
      </c>
      <c r="K20" s="94" t="s">
        <v>321</v>
      </c>
      <c r="L20" s="26"/>
      <c r="M20" s="26"/>
      <c r="R20" s="33">
        <f t="shared" si="0"/>
        <v>2</v>
      </c>
      <c r="S20" s="33">
        <f t="shared" si="1"/>
        <v>1</v>
      </c>
      <c r="T20" s="33">
        <f t="shared" si="2"/>
        <v>4</v>
      </c>
    </row>
    <row r="21" spans="1:20" s="25" customFormat="1" ht="52.5" x14ac:dyDescent="0.15">
      <c r="A21" s="51" t="str">
        <f ca="1">IF(B21&lt;&gt;"",表紙!$AB$1&amp;"-"&amp;"結合-"&amp;TEXT($S$1,"00")&amp;"-"&amp;TEXT(R21,"00")&amp;"-"&amp;TEXT(S21,"00")&amp;"-"&amp;TEXT(T21,"０00"),"")</f>
        <v>最適化-結合-01-02-02-001</v>
      </c>
      <c r="B21" s="26" t="s">
        <v>80</v>
      </c>
      <c r="C21" s="26" t="s">
        <v>84</v>
      </c>
      <c r="D21" s="26" t="s">
        <v>152</v>
      </c>
      <c r="E21" s="43" t="s">
        <v>45</v>
      </c>
      <c r="F21" s="43"/>
      <c r="G21" s="91" t="s">
        <v>226</v>
      </c>
      <c r="H21" s="91" t="s">
        <v>169</v>
      </c>
      <c r="I21" s="66">
        <v>44959</v>
      </c>
      <c r="J21" s="84" t="s">
        <v>320</v>
      </c>
      <c r="K21" s="94" t="s">
        <v>321</v>
      </c>
      <c r="L21" s="26"/>
      <c r="M21" s="26"/>
      <c r="R21" s="33">
        <f t="shared" si="0"/>
        <v>2</v>
      </c>
      <c r="S21" s="33">
        <f t="shared" si="1"/>
        <v>2</v>
      </c>
      <c r="T21" s="33">
        <f t="shared" si="2"/>
        <v>1</v>
      </c>
    </row>
    <row r="22" spans="1:20" s="25" customFormat="1" ht="52.5" x14ac:dyDescent="0.15">
      <c r="A22" s="51" t="str">
        <f ca="1">IF(B22&lt;&gt;"",表紙!$AB$1&amp;"-"&amp;"結合-"&amp;TEXT($S$1,"00")&amp;"-"&amp;TEXT(R22,"00")&amp;"-"&amp;TEXT(S22,"00")&amp;"-"&amp;TEXT(T22,"０00"),"")</f>
        <v>最適化-結合-01-02-02-002</v>
      </c>
      <c r="B22" s="26" t="s">
        <v>80</v>
      </c>
      <c r="C22" s="26" t="s">
        <v>84</v>
      </c>
      <c r="D22" s="26" t="s">
        <v>153</v>
      </c>
      <c r="E22" s="43" t="s">
        <v>45</v>
      </c>
      <c r="F22" s="43"/>
      <c r="G22" s="91" t="s">
        <v>227</v>
      </c>
      <c r="H22" s="91" t="s">
        <v>169</v>
      </c>
      <c r="I22" s="66">
        <v>44959</v>
      </c>
      <c r="J22" s="84" t="s">
        <v>320</v>
      </c>
      <c r="K22" s="94" t="s">
        <v>321</v>
      </c>
      <c r="L22" s="26"/>
      <c r="M22" s="26"/>
      <c r="R22" s="33">
        <f t="shared" si="0"/>
        <v>2</v>
      </c>
      <c r="S22" s="33">
        <f t="shared" si="1"/>
        <v>2</v>
      </c>
      <c r="T22" s="33">
        <f t="shared" si="2"/>
        <v>2</v>
      </c>
    </row>
    <row r="23" spans="1:20" s="25" customFormat="1" ht="52.5" x14ac:dyDescent="0.15">
      <c r="A23" s="51" t="str">
        <f ca="1">IF(B23&lt;&gt;"",表紙!$AB$1&amp;"-"&amp;"結合-"&amp;TEXT($S$1,"00")&amp;"-"&amp;TEXT(R23,"00")&amp;"-"&amp;TEXT(S23,"00")&amp;"-"&amp;TEXT(T23,"０00"),"")</f>
        <v>最適化-結合-01-02-02-003</v>
      </c>
      <c r="B23" s="26" t="s">
        <v>80</v>
      </c>
      <c r="C23" s="26" t="s">
        <v>84</v>
      </c>
      <c r="D23" s="26" t="s">
        <v>154</v>
      </c>
      <c r="E23" s="43" t="s">
        <v>45</v>
      </c>
      <c r="F23" s="43"/>
      <c r="G23" s="91" t="s">
        <v>228</v>
      </c>
      <c r="H23" s="91" t="s">
        <v>169</v>
      </c>
      <c r="I23" s="66">
        <v>44959</v>
      </c>
      <c r="J23" s="84" t="s">
        <v>320</v>
      </c>
      <c r="K23" s="94" t="s">
        <v>321</v>
      </c>
      <c r="L23" s="26"/>
      <c r="M23" s="26"/>
      <c r="R23" s="33">
        <f t="shared" si="0"/>
        <v>2</v>
      </c>
      <c r="S23" s="33">
        <f t="shared" si="1"/>
        <v>2</v>
      </c>
      <c r="T23" s="33">
        <f t="shared" si="2"/>
        <v>3</v>
      </c>
    </row>
    <row r="24" spans="1:20" s="25" customFormat="1" ht="52.5" x14ac:dyDescent="0.15">
      <c r="A24" s="51" t="str">
        <f ca="1">IF(B24&lt;&gt;"",表紙!$AB$1&amp;"-"&amp;"結合-"&amp;TEXT($S$1,"00")&amp;"-"&amp;TEXT(R24,"00")&amp;"-"&amp;TEXT(S24,"00")&amp;"-"&amp;TEXT(T24,"０00"),"")</f>
        <v>最適化-結合-01-02-02-004</v>
      </c>
      <c r="B24" s="26" t="s">
        <v>80</v>
      </c>
      <c r="C24" s="26" t="s">
        <v>84</v>
      </c>
      <c r="D24" s="26" t="s">
        <v>156</v>
      </c>
      <c r="E24" s="43" t="s">
        <v>45</v>
      </c>
      <c r="F24" s="43"/>
      <c r="G24" s="91" t="s">
        <v>229</v>
      </c>
      <c r="H24" s="91" t="s">
        <v>169</v>
      </c>
      <c r="I24" s="66">
        <v>44959</v>
      </c>
      <c r="J24" s="84" t="s">
        <v>320</v>
      </c>
      <c r="K24" s="94" t="s">
        <v>321</v>
      </c>
      <c r="L24" s="26"/>
      <c r="M24" s="26"/>
      <c r="R24" s="33">
        <f t="shared" si="0"/>
        <v>2</v>
      </c>
      <c r="S24" s="33">
        <f t="shared" si="1"/>
        <v>2</v>
      </c>
      <c r="T24" s="33">
        <f t="shared" si="2"/>
        <v>4</v>
      </c>
    </row>
    <row r="25" spans="1:20" s="25" customFormat="1" ht="52.5" x14ac:dyDescent="0.15">
      <c r="A25" s="51" t="str">
        <f ca="1">IF(B25&lt;&gt;"",表紙!$AB$1&amp;"-"&amp;"結合-"&amp;TEXT($S$1,"00")&amp;"-"&amp;TEXT(R25,"00")&amp;"-"&amp;TEXT(S25,"00")&amp;"-"&amp;TEXT(T25,"０00"),"")</f>
        <v>最適化-結合-01-02-02-005</v>
      </c>
      <c r="B25" s="26" t="s">
        <v>80</v>
      </c>
      <c r="C25" s="26" t="s">
        <v>84</v>
      </c>
      <c r="D25" s="26" t="s">
        <v>155</v>
      </c>
      <c r="E25" s="43" t="s">
        <v>45</v>
      </c>
      <c r="F25" s="43"/>
      <c r="G25" s="91" t="s">
        <v>230</v>
      </c>
      <c r="H25" s="91" t="s">
        <v>169</v>
      </c>
      <c r="I25" s="66">
        <v>44959</v>
      </c>
      <c r="J25" s="84" t="s">
        <v>320</v>
      </c>
      <c r="K25" s="94" t="s">
        <v>321</v>
      </c>
      <c r="L25" s="26"/>
      <c r="M25" s="26"/>
      <c r="R25" s="33">
        <f t="shared" si="0"/>
        <v>2</v>
      </c>
      <c r="S25" s="33">
        <f t="shared" si="1"/>
        <v>2</v>
      </c>
      <c r="T25" s="33">
        <f t="shared" si="2"/>
        <v>5</v>
      </c>
    </row>
    <row r="26" spans="1:20" s="25" customFormat="1" ht="21" x14ac:dyDescent="0.15">
      <c r="A26" s="51" t="str">
        <f ca="1">IF(B26&lt;&gt;"",表紙!$AB$1&amp;"-"&amp;"結合-"&amp;TEXT($S$1,"00")&amp;"-"&amp;TEXT(R26,"00")&amp;"-"&amp;TEXT(S26,"00")&amp;"-"&amp;TEXT(T26,"０00"),"")</f>
        <v>最適化-結合-01-02-03-001</v>
      </c>
      <c r="B26" s="26" t="s">
        <v>80</v>
      </c>
      <c r="C26" s="26" t="s">
        <v>85</v>
      </c>
      <c r="D26" s="26" t="s">
        <v>87</v>
      </c>
      <c r="E26" s="43" t="s">
        <v>45</v>
      </c>
      <c r="F26" s="43"/>
      <c r="G26" s="34"/>
      <c r="H26" s="34"/>
      <c r="I26" s="66"/>
      <c r="J26" s="67"/>
      <c r="K26" s="68"/>
      <c r="L26" s="26"/>
      <c r="M26" s="26" t="str">
        <f ca="1">$A$17</f>
        <v>最適化-結合-01-02-01-001</v>
      </c>
      <c r="R26" s="33">
        <f t="shared" si="0"/>
        <v>2</v>
      </c>
      <c r="S26" s="33">
        <f t="shared" si="1"/>
        <v>3</v>
      </c>
      <c r="T26" s="33">
        <f t="shared" si="2"/>
        <v>1</v>
      </c>
    </row>
    <row r="27" spans="1:20" s="25" customFormat="1" ht="52.5" x14ac:dyDescent="0.15">
      <c r="A27" s="51" t="str">
        <f ca="1">IF(B27&lt;&gt;"",表紙!$AB$1&amp;"-"&amp;"結合-"&amp;TEXT($S$1,"00")&amp;"-"&amp;TEXT(R27,"00")&amp;"-"&amp;TEXT(S27,"00")&amp;"-"&amp;TEXT(T27,"０00"),"")</f>
        <v>最適化-結合-01-02-03-002</v>
      </c>
      <c r="B27" s="26" t="s">
        <v>80</v>
      </c>
      <c r="C27" s="26" t="s">
        <v>85</v>
      </c>
      <c r="D27" s="26" t="s">
        <v>86</v>
      </c>
      <c r="E27" s="43" t="s">
        <v>45</v>
      </c>
      <c r="F27" s="43"/>
      <c r="G27" s="91" t="s">
        <v>315</v>
      </c>
      <c r="H27" s="91" t="s">
        <v>168</v>
      </c>
      <c r="I27" s="83">
        <v>44959</v>
      </c>
      <c r="J27" s="84" t="s">
        <v>320</v>
      </c>
      <c r="K27" s="94" t="s">
        <v>321</v>
      </c>
      <c r="L27" s="26"/>
      <c r="M27" s="26"/>
      <c r="R27" s="33">
        <f t="shared" si="0"/>
        <v>2</v>
      </c>
      <c r="S27" s="33">
        <f t="shared" si="1"/>
        <v>3</v>
      </c>
      <c r="T27" s="33">
        <f t="shared" si="2"/>
        <v>2</v>
      </c>
    </row>
    <row r="28" spans="1:20" s="25" customFormat="1" ht="52.5" x14ac:dyDescent="0.15">
      <c r="A28" s="51" t="str">
        <f ca="1">IF(B28&lt;&gt;"",表紙!$AB$1&amp;"-"&amp;"結合-"&amp;TEXT($S$1,"00")&amp;"-"&amp;TEXT(R28,"00")&amp;"-"&amp;TEXT(S28,"00")&amp;"-"&amp;TEXT(T28,"０00"),"")</f>
        <v>最適化-結合-01-02-03-003</v>
      </c>
      <c r="B28" s="26" t="s">
        <v>80</v>
      </c>
      <c r="C28" s="26" t="s">
        <v>85</v>
      </c>
      <c r="D28" s="26" t="s">
        <v>90</v>
      </c>
      <c r="E28" s="43" t="s">
        <v>45</v>
      </c>
      <c r="F28" s="43"/>
      <c r="G28" s="91" t="s">
        <v>316</v>
      </c>
      <c r="H28" s="91" t="s">
        <v>168</v>
      </c>
      <c r="I28" s="83">
        <v>44959</v>
      </c>
      <c r="J28" s="84" t="s">
        <v>320</v>
      </c>
      <c r="K28" s="94" t="s">
        <v>321</v>
      </c>
      <c r="L28" s="26"/>
      <c r="M28" s="26"/>
      <c r="R28" s="33">
        <f t="shared" si="0"/>
        <v>2</v>
      </c>
      <c r="S28" s="33">
        <f t="shared" si="1"/>
        <v>3</v>
      </c>
      <c r="T28" s="33">
        <f t="shared" si="2"/>
        <v>3</v>
      </c>
    </row>
    <row r="29" spans="1:20" s="25" customFormat="1" ht="52.5" x14ac:dyDescent="0.15">
      <c r="A29" s="51" t="str">
        <f ca="1">IF(B29&lt;&gt;"",表紙!$AB$1&amp;"-"&amp;"結合-"&amp;TEXT($S$1,"00")&amp;"-"&amp;TEXT(R29,"00")&amp;"-"&amp;TEXT(S29,"00")&amp;"-"&amp;TEXT(T29,"０00"),"")</f>
        <v>最適化-結合-01-02-04-001</v>
      </c>
      <c r="B29" s="26" t="s">
        <v>80</v>
      </c>
      <c r="C29" s="26" t="s">
        <v>88</v>
      </c>
      <c r="D29" s="26" t="s">
        <v>87</v>
      </c>
      <c r="E29" s="43" t="s">
        <v>45</v>
      </c>
      <c r="F29" s="43"/>
      <c r="G29" s="91" t="s">
        <v>317</v>
      </c>
      <c r="H29" s="91" t="s">
        <v>168</v>
      </c>
      <c r="I29" s="83">
        <v>44959</v>
      </c>
      <c r="J29" s="84" t="s">
        <v>320</v>
      </c>
      <c r="K29" s="94" t="s">
        <v>321</v>
      </c>
      <c r="L29" s="26"/>
      <c r="M29" s="26"/>
      <c r="R29" s="33">
        <f t="shared" si="0"/>
        <v>2</v>
      </c>
      <c r="S29" s="33">
        <f t="shared" si="1"/>
        <v>4</v>
      </c>
      <c r="T29" s="33">
        <f t="shared" si="2"/>
        <v>1</v>
      </c>
    </row>
    <row r="30" spans="1:20" s="25" customFormat="1" ht="52.5" x14ac:dyDescent="0.15">
      <c r="A30" s="51" t="str">
        <f ca="1">IF(B30&lt;&gt;"",表紙!$AB$1&amp;"-"&amp;"結合-"&amp;TEXT($S$1,"00")&amp;"-"&amp;TEXT(R30,"00")&amp;"-"&amp;TEXT(S30,"00")&amp;"-"&amp;TEXT(T30,"０00"),"")</f>
        <v>最適化-結合-01-02-04-002</v>
      </c>
      <c r="B30" s="26" t="s">
        <v>80</v>
      </c>
      <c r="C30" s="26" t="s">
        <v>88</v>
      </c>
      <c r="D30" s="26" t="s">
        <v>86</v>
      </c>
      <c r="E30" s="43" t="s">
        <v>45</v>
      </c>
      <c r="F30" s="43"/>
      <c r="G30" s="91" t="s">
        <v>318</v>
      </c>
      <c r="H30" s="91" t="s">
        <v>168</v>
      </c>
      <c r="I30" s="66">
        <v>44959</v>
      </c>
      <c r="J30" s="84" t="s">
        <v>320</v>
      </c>
      <c r="K30" s="94" t="s">
        <v>321</v>
      </c>
      <c r="L30" s="26"/>
      <c r="M30" s="26"/>
      <c r="R30" s="33">
        <f t="shared" si="0"/>
        <v>2</v>
      </c>
      <c r="S30" s="33">
        <f t="shared" si="1"/>
        <v>4</v>
      </c>
      <c r="T30" s="33">
        <f t="shared" si="2"/>
        <v>2</v>
      </c>
    </row>
    <row r="31" spans="1:20" s="25" customFormat="1" ht="52.5" x14ac:dyDescent="0.15">
      <c r="A31" s="51" t="str">
        <f ca="1">IF(B31&lt;&gt;"",表紙!$AB$1&amp;"-"&amp;"結合-"&amp;TEXT($S$1,"00")&amp;"-"&amp;TEXT(R31,"00")&amp;"-"&amp;TEXT(S31,"00")&amp;"-"&amp;TEXT(T31,"０00"),"")</f>
        <v>最適化-結合-01-02-04-003</v>
      </c>
      <c r="B31" s="26" t="s">
        <v>80</v>
      </c>
      <c r="C31" s="26" t="s">
        <v>88</v>
      </c>
      <c r="D31" s="26" t="s">
        <v>129</v>
      </c>
      <c r="E31" s="43" t="s">
        <v>45</v>
      </c>
      <c r="F31" s="43"/>
      <c r="G31" s="91" t="s">
        <v>319</v>
      </c>
      <c r="H31" s="91" t="s">
        <v>169</v>
      </c>
      <c r="I31" s="66">
        <v>44959</v>
      </c>
      <c r="J31" s="84" t="s">
        <v>320</v>
      </c>
      <c r="K31" s="94" t="s">
        <v>321</v>
      </c>
      <c r="L31" s="26"/>
      <c r="M31" s="26"/>
      <c r="R31" s="33">
        <f t="shared" si="0"/>
        <v>2</v>
      </c>
      <c r="S31" s="33">
        <f t="shared" si="1"/>
        <v>4</v>
      </c>
      <c r="T31" s="33">
        <f t="shared" si="2"/>
        <v>3</v>
      </c>
    </row>
    <row r="32" spans="1:20" s="25" customFormat="1" ht="210" x14ac:dyDescent="0.15">
      <c r="A32" s="51" t="str">
        <f ca="1">IF(B32&lt;&gt;"",表紙!$AB$1&amp;"-"&amp;"結合-"&amp;TEXT($S$1,"00")&amp;"-"&amp;TEXT(R32,"00")&amp;"-"&amp;TEXT(S32,"00")&amp;"-"&amp;TEXT(T32,"０00"),"")</f>
        <v>最適化-結合-01-02-05-001</v>
      </c>
      <c r="B32" s="26" t="s">
        <v>80</v>
      </c>
      <c r="C32" s="26" t="s">
        <v>89</v>
      </c>
      <c r="D32" s="26" t="s">
        <v>111</v>
      </c>
      <c r="E32" s="43" t="s">
        <v>45</v>
      </c>
      <c r="F32" s="43"/>
      <c r="G32" s="91" t="s">
        <v>256</v>
      </c>
      <c r="H32" s="91" t="s">
        <v>185</v>
      </c>
      <c r="I32" s="83">
        <v>44959</v>
      </c>
      <c r="J32" s="84" t="s">
        <v>320</v>
      </c>
      <c r="K32" s="94" t="s">
        <v>321</v>
      </c>
      <c r="L32" s="26"/>
      <c r="M32" s="26"/>
      <c r="R32" s="33">
        <f t="shared" si="0"/>
        <v>2</v>
      </c>
      <c r="S32" s="33">
        <f t="shared" si="1"/>
        <v>5</v>
      </c>
      <c r="T32" s="33">
        <f t="shared" si="2"/>
        <v>1</v>
      </c>
    </row>
    <row r="33" spans="1:20" s="25" customFormat="1" ht="84" x14ac:dyDescent="0.15">
      <c r="A33" s="51" t="str">
        <f ca="1">IF(B33&lt;&gt;"",表紙!$AB$1&amp;"-"&amp;"結合-"&amp;TEXT($S$1,"00")&amp;"-"&amp;TEXT(R33,"00")&amp;"-"&amp;TEXT(S33,"00")&amp;"-"&amp;TEXT(T33,"０00"),"")</f>
        <v>最適化-結合-01-02-06-001</v>
      </c>
      <c r="B33" s="26" t="s">
        <v>80</v>
      </c>
      <c r="C33" s="26" t="s">
        <v>128</v>
      </c>
      <c r="D33" s="26" t="s">
        <v>111</v>
      </c>
      <c r="E33" s="43" t="s">
        <v>45</v>
      </c>
      <c r="F33" s="43"/>
      <c r="G33" s="91" t="s">
        <v>257</v>
      </c>
      <c r="H33" s="91" t="s">
        <v>186</v>
      </c>
      <c r="I33" s="83">
        <v>44959</v>
      </c>
      <c r="J33" s="84" t="s">
        <v>320</v>
      </c>
      <c r="K33" s="94" t="s">
        <v>321</v>
      </c>
      <c r="L33" s="26"/>
      <c r="M33" s="26"/>
      <c r="R33" s="33">
        <f t="shared" si="0"/>
        <v>2</v>
      </c>
      <c r="S33" s="33">
        <f t="shared" si="1"/>
        <v>6</v>
      </c>
      <c r="T33" s="33">
        <f t="shared" si="2"/>
        <v>1</v>
      </c>
    </row>
    <row r="34" spans="1:20" s="25" customFormat="1" ht="52.5" x14ac:dyDescent="0.15">
      <c r="A34" s="51" t="str">
        <f ca="1">IF(B34&lt;&gt;"",表紙!$AB$1&amp;"-"&amp;"結合-"&amp;TEXT($S$1,"00")&amp;"-"&amp;TEXT(R34,"00")&amp;"-"&amp;TEXT(S34,"00")&amp;"-"&amp;TEXT(T34,"０00"),"")</f>
        <v>最適化-結合-01-02-07-001</v>
      </c>
      <c r="B34" s="26" t="s">
        <v>80</v>
      </c>
      <c r="C34" s="26" t="s">
        <v>127</v>
      </c>
      <c r="D34" s="26" t="s">
        <v>91</v>
      </c>
      <c r="E34" s="43" t="s">
        <v>45</v>
      </c>
      <c r="F34" s="43"/>
      <c r="G34" s="91" t="s">
        <v>234</v>
      </c>
      <c r="H34" s="91" t="s">
        <v>169</v>
      </c>
      <c r="I34" s="66">
        <v>44959</v>
      </c>
      <c r="J34" s="84" t="s">
        <v>320</v>
      </c>
      <c r="K34" s="94" t="s">
        <v>321</v>
      </c>
      <c r="L34" s="26"/>
      <c r="M34" s="26"/>
      <c r="R34" s="33">
        <f t="shared" si="0"/>
        <v>2</v>
      </c>
      <c r="S34" s="33">
        <f t="shared" si="1"/>
        <v>7</v>
      </c>
      <c r="T34" s="33">
        <f t="shared" si="2"/>
        <v>1</v>
      </c>
    </row>
    <row r="35" spans="1:20" s="25" customFormat="1" ht="52.5" x14ac:dyDescent="0.15">
      <c r="A35" s="51" t="str">
        <f ca="1">IF(B35&lt;&gt;"",表紙!$AB$1&amp;"-"&amp;"結合-"&amp;TEXT($S$1,"00")&amp;"-"&amp;TEXT(R35,"00")&amp;"-"&amp;TEXT(S35,"00")&amp;"-"&amp;TEXT(T35,"０00"),"")</f>
        <v>最適化-結合-01-02-07-002</v>
      </c>
      <c r="B35" s="26" t="s">
        <v>80</v>
      </c>
      <c r="C35" s="26" t="s">
        <v>127</v>
      </c>
      <c r="D35" s="26" t="s">
        <v>92</v>
      </c>
      <c r="E35" s="43" t="s">
        <v>45</v>
      </c>
      <c r="F35" s="43"/>
      <c r="G35" s="91" t="s">
        <v>231</v>
      </c>
      <c r="H35" s="91" t="s">
        <v>169</v>
      </c>
      <c r="I35" s="66">
        <v>44959</v>
      </c>
      <c r="J35" s="84" t="s">
        <v>320</v>
      </c>
      <c r="K35" s="94" t="s">
        <v>321</v>
      </c>
      <c r="L35" s="26"/>
      <c r="M35" s="26"/>
      <c r="R35" s="33">
        <f t="shared" si="0"/>
        <v>2</v>
      </c>
      <c r="S35" s="33">
        <f t="shared" si="1"/>
        <v>7</v>
      </c>
      <c r="T35" s="33">
        <f t="shared" si="2"/>
        <v>2</v>
      </c>
    </row>
    <row r="36" spans="1:20" s="25" customFormat="1" ht="52.5" x14ac:dyDescent="0.15">
      <c r="A36" s="51" t="str">
        <f ca="1">IF(B36&lt;&gt;"",表紙!$AB$1&amp;"-"&amp;"結合-"&amp;TEXT($S$1,"00")&amp;"-"&amp;TEXT(R36,"00")&amp;"-"&amp;TEXT(S36,"00")&amp;"-"&amp;TEXT(T36,"０00"),"")</f>
        <v>最適化-結合-01-02-08-001</v>
      </c>
      <c r="B36" s="26" t="s">
        <v>80</v>
      </c>
      <c r="C36" s="26" t="s">
        <v>126</v>
      </c>
      <c r="D36" s="26" t="s">
        <v>91</v>
      </c>
      <c r="E36" s="43" t="s">
        <v>45</v>
      </c>
      <c r="F36" s="43"/>
      <c r="G36" s="91" t="s">
        <v>232</v>
      </c>
      <c r="H36" s="91" t="s">
        <v>169</v>
      </c>
      <c r="I36" s="66">
        <v>44960</v>
      </c>
      <c r="J36" s="84" t="s">
        <v>320</v>
      </c>
      <c r="K36" s="94" t="s">
        <v>321</v>
      </c>
      <c r="L36" s="26"/>
      <c r="M36" s="26"/>
      <c r="R36" s="33">
        <f t="shared" si="0"/>
        <v>2</v>
      </c>
      <c r="S36" s="33">
        <f t="shared" si="1"/>
        <v>8</v>
      </c>
      <c r="T36" s="33">
        <f t="shared" si="2"/>
        <v>1</v>
      </c>
    </row>
    <row r="37" spans="1:20" s="25" customFormat="1" ht="52.5" x14ac:dyDescent="0.15">
      <c r="A37" s="51" t="str">
        <f ca="1">IF(B37&lt;&gt;"",表紙!$AB$1&amp;"-"&amp;"結合-"&amp;TEXT($S$1,"00")&amp;"-"&amp;TEXT(R37,"00")&amp;"-"&amp;TEXT(S37,"00")&amp;"-"&amp;TEXT(T37,"０00"),"")</f>
        <v>最適化-結合-01-02-08-002</v>
      </c>
      <c r="B37" s="26" t="s">
        <v>80</v>
      </c>
      <c r="C37" s="26" t="s">
        <v>126</v>
      </c>
      <c r="D37" s="26" t="s">
        <v>92</v>
      </c>
      <c r="E37" s="43" t="s">
        <v>45</v>
      </c>
      <c r="F37" s="43"/>
      <c r="G37" s="91" t="s">
        <v>233</v>
      </c>
      <c r="H37" s="91" t="s">
        <v>169</v>
      </c>
      <c r="I37" s="66">
        <v>44960</v>
      </c>
      <c r="J37" s="84" t="s">
        <v>320</v>
      </c>
      <c r="K37" s="94" t="s">
        <v>321</v>
      </c>
      <c r="L37" s="26"/>
      <c r="M37" s="26"/>
      <c r="R37" s="33">
        <f t="shared" si="0"/>
        <v>2</v>
      </c>
      <c r="S37" s="33">
        <f t="shared" si="1"/>
        <v>8</v>
      </c>
      <c r="T37" s="33">
        <f t="shared" si="2"/>
        <v>2</v>
      </c>
    </row>
    <row r="38" spans="1:20" s="25" customFormat="1" ht="52.5" x14ac:dyDescent="0.15">
      <c r="A38" s="51" t="str">
        <f ca="1">IF(B38&lt;&gt;"",表紙!$AB$1&amp;"-"&amp;"結合-"&amp;TEXT($S$1,"00")&amp;"-"&amp;TEXT(R38,"00")&amp;"-"&amp;TEXT(S38,"00")&amp;"-"&amp;TEXT(T38,"０00"),"")</f>
        <v>最適化-結合-01-02-09-001</v>
      </c>
      <c r="B38" s="26" t="s">
        <v>80</v>
      </c>
      <c r="C38" s="26" t="s">
        <v>93</v>
      </c>
      <c r="D38" s="26" t="s">
        <v>141</v>
      </c>
      <c r="E38" s="43" t="s">
        <v>45</v>
      </c>
      <c r="F38" s="43"/>
      <c r="G38" s="91" t="s">
        <v>275</v>
      </c>
      <c r="H38" s="91" t="s">
        <v>169</v>
      </c>
      <c r="I38" s="66">
        <v>44960</v>
      </c>
      <c r="J38" s="84" t="s">
        <v>320</v>
      </c>
      <c r="K38" s="94" t="s">
        <v>321</v>
      </c>
      <c r="L38" s="26"/>
      <c r="M38" s="26"/>
      <c r="R38" s="33">
        <f t="shared" si="0"/>
        <v>2</v>
      </c>
      <c r="S38" s="33">
        <f t="shared" si="1"/>
        <v>9</v>
      </c>
      <c r="T38" s="33">
        <f t="shared" si="2"/>
        <v>1</v>
      </c>
    </row>
    <row r="39" spans="1:20" s="25" customFormat="1" ht="52.5" x14ac:dyDescent="0.15">
      <c r="A39" s="51" t="str">
        <f ca="1">IF(B39&lt;&gt;"",表紙!$AB$1&amp;"-"&amp;"結合-"&amp;TEXT($S$1,"00")&amp;"-"&amp;TEXT(R39,"00")&amp;"-"&amp;TEXT(S39,"00")&amp;"-"&amp;TEXT(T39,"０00"),"")</f>
        <v>最適化-結合-01-02-09-002</v>
      </c>
      <c r="B39" s="26" t="s">
        <v>80</v>
      </c>
      <c r="C39" s="26" t="s">
        <v>93</v>
      </c>
      <c r="D39" s="26" t="s">
        <v>94</v>
      </c>
      <c r="E39" s="43" t="s">
        <v>45</v>
      </c>
      <c r="F39" s="43"/>
      <c r="G39" s="91" t="s">
        <v>282</v>
      </c>
      <c r="H39" s="91" t="s">
        <v>169</v>
      </c>
      <c r="I39" s="66">
        <v>44960</v>
      </c>
      <c r="J39" s="84" t="s">
        <v>320</v>
      </c>
      <c r="K39" s="94" t="s">
        <v>321</v>
      </c>
      <c r="L39" s="26"/>
      <c r="M39" s="26"/>
      <c r="R39" s="33">
        <f t="shared" si="0"/>
        <v>2</v>
      </c>
      <c r="S39" s="33">
        <f t="shared" si="1"/>
        <v>9</v>
      </c>
      <c r="T39" s="33">
        <f t="shared" si="2"/>
        <v>2</v>
      </c>
    </row>
    <row r="40" spans="1:20" s="25" customFormat="1" ht="52.5" x14ac:dyDescent="0.15">
      <c r="A40" s="51" t="str">
        <f ca="1">IF(B40&lt;&gt;"",表紙!$AB$1&amp;"-"&amp;"結合-"&amp;TEXT($S$1,"00")&amp;"-"&amp;TEXT(R40,"00")&amp;"-"&amp;TEXT(S40,"00")&amp;"-"&amp;TEXT(T40,"０00"),"")</f>
        <v>最適化-結合-01-02-09-003</v>
      </c>
      <c r="B40" s="26" t="s">
        <v>80</v>
      </c>
      <c r="C40" s="26" t="s">
        <v>93</v>
      </c>
      <c r="D40" s="26" t="s">
        <v>142</v>
      </c>
      <c r="E40" s="43" t="s">
        <v>45</v>
      </c>
      <c r="F40" s="43"/>
      <c r="G40" s="91" t="s">
        <v>283</v>
      </c>
      <c r="H40" s="91" t="s">
        <v>169</v>
      </c>
      <c r="I40" s="66">
        <v>44960</v>
      </c>
      <c r="J40" s="84" t="s">
        <v>320</v>
      </c>
      <c r="K40" s="94" t="s">
        <v>321</v>
      </c>
      <c r="L40" s="26"/>
      <c r="M40" s="26"/>
      <c r="R40" s="33">
        <f t="shared" si="0"/>
        <v>2</v>
      </c>
      <c r="S40" s="33">
        <f t="shared" si="1"/>
        <v>9</v>
      </c>
      <c r="T40" s="33">
        <f t="shared" si="2"/>
        <v>3</v>
      </c>
    </row>
    <row r="41" spans="1:20" s="25" customFormat="1" ht="52.5" x14ac:dyDescent="0.15">
      <c r="A41" s="51" t="str">
        <f ca="1">IF(B41&lt;&gt;"",表紙!$AB$1&amp;"-"&amp;"結合-"&amp;TEXT($S$1,"00")&amp;"-"&amp;TEXT(R41,"00")&amp;"-"&amp;TEXT(S41,"00")&amp;"-"&amp;TEXT(T41,"０00"),"")</f>
        <v>最適化-結合-01-02-09-004</v>
      </c>
      <c r="B41" s="26" t="s">
        <v>80</v>
      </c>
      <c r="C41" s="26" t="s">
        <v>93</v>
      </c>
      <c r="D41" s="26" t="s">
        <v>95</v>
      </c>
      <c r="E41" s="43" t="s">
        <v>45</v>
      </c>
      <c r="F41" s="43"/>
      <c r="G41" s="91" t="s">
        <v>284</v>
      </c>
      <c r="H41" s="91" t="s">
        <v>169</v>
      </c>
      <c r="I41" s="66">
        <v>44960</v>
      </c>
      <c r="J41" s="84" t="s">
        <v>320</v>
      </c>
      <c r="K41" s="94" t="s">
        <v>321</v>
      </c>
      <c r="L41" s="26"/>
      <c r="M41" s="26"/>
      <c r="R41" s="33">
        <f t="shared" si="0"/>
        <v>2</v>
      </c>
      <c r="S41" s="33">
        <f t="shared" si="1"/>
        <v>9</v>
      </c>
      <c r="T41" s="33">
        <f t="shared" si="2"/>
        <v>4</v>
      </c>
    </row>
    <row r="42" spans="1:20" s="25" customFormat="1" ht="52.5" x14ac:dyDescent="0.15">
      <c r="A42" s="51" t="str">
        <f ca="1">IF(B42&lt;&gt;"",表紙!$AB$1&amp;"-"&amp;"結合-"&amp;TEXT($S$1,"00")&amp;"-"&amp;TEXT(R42,"00")&amp;"-"&amp;TEXT(S42,"00")&amp;"-"&amp;TEXT(T42,"０00"),"")</f>
        <v>最適化-結合-01-02-10-001</v>
      </c>
      <c r="B42" s="26" t="s">
        <v>80</v>
      </c>
      <c r="C42" s="26" t="s">
        <v>125</v>
      </c>
      <c r="D42" s="26" t="s">
        <v>96</v>
      </c>
      <c r="E42" s="43" t="s">
        <v>45</v>
      </c>
      <c r="F42" s="43"/>
      <c r="G42" s="91" t="s">
        <v>235</v>
      </c>
      <c r="H42" s="91" t="s">
        <v>169</v>
      </c>
      <c r="I42" s="66">
        <v>44960</v>
      </c>
      <c r="J42" s="84" t="s">
        <v>320</v>
      </c>
      <c r="K42" s="94" t="s">
        <v>321</v>
      </c>
      <c r="L42" s="26"/>
      <c r="M42" s="26"/>
      <c r="R42" s="33">
        <f t="shared" si="0"/>
        <v>2</v>
      </c>
      <c r="S42" s="33">
        <f t="shared" si="1"/>
        <v>10</v>
      </c>
      <c r="T42" s="33">
        <f t="shared" si="2"/>
        <v>1</v>
      </c>
    </row>
    <row r="43" spans="1:20" s="25" customFormat="1" ht="52.5" x14ac:dyDescent="0.15">
      <c r="A43" s="51" t="str">
        <f ca="1">IF(B43&lt;&gt;"",表紙!$AB$1&amp;"-"&amp;"結合-"&amp;TEXT($S$1,"00")&amp;"-"&amp;TEXT(R43,"00")&amp;"-"&amp;TEXT(S43,"00")&amp;"-"&amp;TEXT(T43,"０00"),"")</f>
        <v>最適化-結合-01-02-10-002</v>
      </c>
      <c r="B43" s="26" t="s">
        <v>80</v>
      </c>
      <c r="C43" s="26" t="s">
        <v>125</v>
      </c>
      <c r="D43" s="26" t="s">
        <v>97</v>
      </c>
      <c r="E43" s="43" t="s">
        <v>45</v>
      </c>
      <c r="F43" s="43"/>
      <c r="G43" s="91" t="s">
        <v>299</v>
      </c>
      <c r="H43" s="91" t="s">
        <v>169</v>
      </c>
      <c r="I43" s="66">
        <v>44960</v>
      </c>
      <c r="J43" s="84" t="s">
        <v>320</v>
      </c>
      <c r="K43" s="94" t="s">
        <v>321</v>
      </c>
      <c r="L43" s="26"/>
      <c r="M43" s="26"/>
      <c r="R43" s="33">
        <f t="shared" si="0"/>
        <v>2</v>
      </c>
      <c r="S43" s="33">
        <f t="shared" si="1"/>
        <v>10</v>
      </c>
      <c r="T43" s="33">
        <f t="shared" si="2"/>
        <v>2</v>
      </c>
    </row>
    <row r="44" spans="1:20" s="25" customFormat="1" ht="52.5" x14ac:dyDescent="0.15">
      <c r="A44" s="51" t="str">
        <f ca="1">IF(B44&lt;&gt;"",表紙!$AB$1&amp;"-"&amp;"結合-"&amp;TEXT($S$1,"00")&amp;"-"&amp;TEXT(R44,"00")&amp;"-"&amp;TEXT(S44,"00")&amp;"-"&amp;TEXT(T44,"０00"),"")</f>
        <v>最適化-結合-01-02-10-003</v>
      </c>
      <c r="B44" s="26" t="s">
        <v>80</v>
      </c>
      <c r="C44" s="26" t="s">
        <v>125</v>
      </c>
      <c r="D44" s="26" t="s">
        <v>98</v>
      </c>
      <c r="E44" s="43" t="s">
        <v>45</v>
      </c>
      <c r="F44" s="43"/>
      <c r="G44" s="91" t="s">
        <v>300</v>
      </c>
      <c r="H44" s="91" t="s">
        <v>169</v>
      </c>
      <c r="I44" s="66">
        <v>44960</v>
      </c>
      <c r="J44" s="84" t="s">
        <v>320</v>
      </c>
      <c r="K44" s="94" t="s">
        <v>321</v>
      </c>
      <c r="L44" s="26"/>
      <c r="M44" s="26"/>
      <c r="R44" s="33">
        <f t="shared" si="0"/>
        <v>2</v>
      </c>
      <c r="S44" s="33">
        <f t="shared" si="1"/>
        <v>10</v>
      </c>
      <c r="T44" s="33">
        <f t="shared" si="2"/>
        <v>3</v>
      </c>
    </row>
    <row r="45" spans="1:20" s="25" customFormat="1" ht="52.5" x14ac:dyDescent="0.15">
      <c r="A45" s="51" t="str">
        <f ca="1">IF(B45&lt;&gt;"",表紙!$AB$1&amp;"-"&amp;"結合-"&amp;TEXT($S$1,"00")&amp;"-"&amp;TEXT(R45,"00")&amp;"-"&amp;TEXT(S45,"00")&amp;"-"&amp;TEXT(T45,"０00"),"")</f>
        <v>最適化-結合-01-02-10-004</v>
      </c>
      <c r="B45" s="26" t="s">
        <v>80</v>
      </c>
      <c r="C45" s="26" t="s">
        <v>125</v>
      </c>
      <c r="D45" s="26" t="s">
        <v>99</v>
      </c>
      <c r="E45" s="43" t="s">
        <v>45</v>
      </c>
      <c r="F45" s="43"/>
      <c r="G45" s="91" t="s">
        <v>301</v>
      </c>
      <c r="H45" s="91" t="s">
        <v>169</v>
      </c>
      <c r="I45" s="66">
        <v>44960</v>
      </c>
      <c r="J45" s="84" t="s">
        <v>320</v>
      </c>
      <c r="K45" s="94" t="s">
        <v>321</v>
      </c>
      <c r="L45" s="26"/>
      <c r="M45" s="26"/>
      <c r="R45" s="33">
        <f t="shared" si="0"/>
        <v>2</v>
      </c>
      <c r="S45" s="33">
        <f t="shared" si="1"/>
        <v>10</v>
      </c>
      <c r="T45" s="33">
        <f t="shared" si="2"/>
        <v>4</v>
      </c>
    </row>
    <row r="46" spans="1:20" s="25" customFormat="1" ht="241.5" x14ac:dyDescent="0.15">
      <c r="A46" s="51" t="str">
        <f ca="1">IF(B46&lt;&gt;"",表紙!$AB$1&amp;"-"&amp;"結合-"&amp;TEXT($S$1,"00")&amp;"-"&amp;TEXT(R46,"00")&amp;"-"&amp;TEXT(S46,"00")&amp;"-"&amp;TEXT(T46,"０00"),"")</f>
        <v>最適化-結合-01-02-11-001</v>
      </c>
      <c r="B46" s="26" t="s">
        <v>80</v>
      </c>
      <c r="C46" s="26" t="s">
        <v>124</v>
      </c>
      <c r="D46" s="26" t="s">
        <v>111</v>
      </c>
      <c r="E46" s="43" t="s">
        <v>45</v>
      </c>
      <c r="F46" s="43"/>
      <c r="G46" s="91" t="s">
        <v>304</v>
      </c>
      <c r="H46" s="91" t="s">
        <v>305</v>
      </c>
      <c r="I46" s="66">
        <v>44963</v>
      </c>
      <c r="J46" s="84" t="s">
        <v>320</v>
      </c>
      <c r="K46" s="94" t="s">
        <v>321</v>
      </c>
      <c r="L46" s="26"/>
      <c r="M46" s="26"/>
      <c r="R46" s="33">
        <f>IF(ROW()&lt;&gt;3,IF(B45&lt;&gt;B46,R45+1,R45),1)</f>
        <v>2</v>
      </c>
      <c r="S46" s="33">
        <f>IF(B45=B46,IF(C45&lt;&gt;C46,S45+1,S45),1)</f>
        <v>11</v>
      </c>
      <c r="T46" s="33">
        <f>IF(B45&lt;&gt;B46,1,IF(C45=C46,T45+1,1))</f>
        <v>1</v>
      </c>
    </row>
    <row r="47" spans="1:20" s="25" customFormat="1" ht="31.5" x14ac:dyDescent="0.15">
      <c r="A47" s="51" t="str">
        <f ca="1">IF(B47&lt;&gt;"",表紙!$AB$1&amp;"-"&amp;"結合-"&amp;TEXT($S$1,"00")&amp;"-"&amp;TEXT(R47,"00")&amp;"-"&amp;TEXT(S47,"00")&amp;"-"&amp;TEXT(T47,"０00"),"")</f>
        <v>最適化-結合-01-03-01-001</v>
      </c>
      <c r="B47" s="26" t="s">
        <v>49</v>
      </c>
      <c r="C47" s="26" t="s">
        <v>43</v>
      </c>
      <c r="D47" s="26" t="s">
        <v>58</v>
      </c>
      <c r="E47" s="43" t="s">
        <v>44</v>
      </c>
      <c r="F47" s="43"/>
      <c r="G47" s="91" t="s">
        <v>254</v>
      </c>
      <c r="H47" s="91" t="s">
        <v>260</v>
      </c>
      <c r="I47" s="66">
        <v>44963</v>
      </c>
      <c r="J47" s="67" t="s">
        <v>320</v>
      </c>
      <c r="K47" s="68" t="s">
        <v>321</v>
      </c>
      <c r="L47" s="26"/>
      <c r="M47" s="26"/>
      <c r="R47" s="33">
        <f t="shared" si="0"/>
        <v>3</v>
      </c>
      <c r="S47" s="33">
        <f t="shared" si="1"/>
        <v>1</v>
      </c>
      <c r="T47" s="33">
        <f t="shared" si="2"/>
        <v>1</v>
      </c>
    </row>
    <row r="48" spans="1:20" s="25" customFormat="1" ht="31.5" x14ac:dyDescent="0.15">
      <c r="A48" s="51" t="str">
        <f ca="1">IF(B48&lt;&gt;"",表紙!$AB$1&amp;"-"&amp;"結合-"&amp;TEXT($S$1,"00")&amp;"-"&amp;TEXT(R48,"00")&amp;"-"&amp;TEXT(S48,"00")&amp;"-"&amp;TEXT(T48,"０00"),"")</f>
        <v>最適化-結合-01-03-01-002</v>
      </c>
      <c r="B48" s="26" t="s">
        <v>49</v>
      </c>
      <c r="C48" s="26" t="s">
        <v>43</v>
      </c>
      <c r="D48" s="26" t="s">
        <v>59</v>
      </c>
      <c r="E48" s="43" t="s">
        <v>44</v>
      </c>
      <c r="F48" s="43"/>
      <c r="G48" s="91" t="s">
        <v>255</v>
      </c>
      <c r="H48" s="91" t="s">
        <v>260</v>
      </c>
      <c r="I48" s="66">
        <v>44963</v>
      </c>
      <c r="J48" s="67" t="s">
        <v>320</v>
      </c>
      <c r="K48" s="68" t="s">
        <v>321</v>
      </c>
      <c r="L48" s="26"/>
      <c r="M48" s="26"/>
      <c r="R48" s="33">
        <f t="shared" si="0"/>
        <v>3</v>
      </c>
      <c r="S48" s="33">
        <f t="shared" si="1"/>
        <v>1</v>
      </c>
      <c r="T48" s="33">
        <f t="shared" si="2"/>
        <v>2</v>
      </c>
    </row>
    <row r="49" spans="1:20" s="25" customFormat="1" ht="31.5" x14ac:dyDescent="0.15">
      <c r="A49" s="51" t="str">
        <f ca="1">IF(B49&lt;&gt;"",表紙!$AB$1&amp;"-"&amp;"結合-"&amp;TEXT($S$1,"00")&amp;"-"&amp;TEXT(R49,"00")&amp;"-"&amp;TEXT(S49,"00")&amp;"-"&amp;TEXT(T49,"０00"),"")</f>
        <v>最適化-結合-01-03-02-001</v>
      </c>
      <c r="B49" s="26" t="s">
        <v>49</v>
      </c>
      <c r="C49" s="26" t="s">
        <v>123</v>
      </c>
      <c r="D49" s="26" t="s">
        <v>60</v>
      </c>
      <c r="E49" s="43" t="s">
        <v>44</v>
      </c>
      <c r="F49" s="43"/>
      <c r="G49" s="91" t="s">
        <v>261</v>
      </c>
      <c r="H49" s="91" t="s">
        <v>260</v>
      </c>
      <c r="I49" s="66">
        <v>44963</v>
      </c>
      <c r="J49" s="67" t="s">
        <v>320</v>
      </c>
      <c r="K49" s="68" t="s">
        <v>321</v>
      </c>
      <c r="L49" s="26"/>
      <c r="M49" s="26"/>
      <c r="R49" s="33">
        <f t="shared" si="0"/>
        <v>3</v>
      </c>
      <c r="S49" s="33">
        <f t="shared" si="1"/>
        <v>2</v>
      </c>
      <c r="T49" s="33">
        <f t="shared" si="2"/>
        <v>1</v>
      </c>
    </row>
    <row r="50" spans="1:20" s="25" customFormat="1" ht="31.5" x14ac:dyDescent="0.15">
      <c r="A50" s="51" t="str">
        <f ca="1">IF(B50&lt;&gt;"",表紙!$AB$1&amp;"-"&amp;"結合-"&amp;TEXT($S$1,"00")&amp;"-"&amp;TEXT(R50,"00")&amp;"-"&amp;TEXT(S50,"00")&amp;"-"&amp;TEXT(T50,"０00"),"")</f>
        <v>最適化-結合-01-03-02-002</v>
      </c>
      <c r="B50" s="26" t="s">
        <v>49</v>
      </c>
      <c r="C50" s="26" t="s">
        <v>123</v>
      </c>
      <c r="D50" s="26" t="s">
        <v>61</v>
      </c>
      <c r="E50" s="43" t="s">
        <v>44</v>
      </c>
      <c r="F50" s="43"/>
      <c r="G50" s="91" t="s">
        <v>262</v>
      </c>
      <c r="H50" s="91" t="s">
        <v>260</v>
      </c>
      <c r="I50" s="66">
        <v>44963</v>
      </c>
      <c r="J50" s="67" t="s">
        <v>320</v>
      </c>
      <c r="K50" s="68" t="s">
        <v>321</v>
      </c>
      <c r="L50" s="26"/>
      <c r="M50" s="26"/>
      <c r="R50" s="33">
        <f t="shared" si="0"/>
        <v>3</v>
      </c>
      <c r="S50" s="33">
        <f t="shared" si="1"/>
        <v>2</v>
      </c>
      <c r="T50" s="33">
        <f t="shared" si="2"/>
        <v>2</v>
      </c>
    </row>
    <row r="51" spans="1:20" s="25" customFormat="1" ht="31.5" x14ac:dyDescent="0.15">
      <c r="A51" s="51" t="str">
        <f ca="1">IF(B51&lt;&gt;"",表紙!$AB$1&amp;"-"&amp;"結合-"&amp;TEXT($S$1,"00")&amp;"-"&amp;TEXT(R51,"00")&amp;"-"&amp;TEXT(S51,"00")&amp;"-"&amp;TEXT(T51,"０00"),"")</f>
        <v>最適化-結合-01-03-02-003</v>
      </c>
      <c r="B51" s="26" t="s">
        <v>49</v>
      </c>
      <c r="C51" s="26" t="s">
        <v>123</v>
      </c>
      <c r="D51" s="26" t="s">
        <v>52</v>
      </c>
      <c r="E51" s="43" t="s">
        <v>44</v>
      </c>
      <c r="F51" s="43"/>
      <c r="G51" s="91" t="s">
        <v>263</v>
      </c>
      <c r="H51" s="91" t="s">
        <v>260</v>
      </c>
      <c r="I51" s="66">
        <v>44963</v>
      </c>
      <c r="J51" s="67" t="s">
        <v>320</v>
      </c>
      <c r="K51" s="68" t="s">
        <v>321</v>
      </c>
      <c r="L51" s="26"/>
      <c r="M51" s="26"/>
      <c r="R51" s="33">
        <f t="shared" si="0"/>
        <v>3</v>
      </c>
      <c r="S51" s="33">
        <f t="shared" si="1"/>
        <v>2</v>
      </c>
      <c r="T51" s="33">
        <f t="shared" si="2"/>
        <v>3</v>
      </c>
    </row>
    <row r="52" spans="1:20" s="25" customFormat="1" ht="31.5" x14ac:dyDescent="0.15">
      <c r="A52" s="51" t="str">
        <f ca="1">IF(B52&lt;&gt;"",表紙!$AB$1&amp;"-"&amp;"結合-"&amp;TEXT($S$1,"00")&amp;"-"&amp;TEXT(R52,"00")&amp;"-"&amp;TEXT(S52,"00")&amp;"-"&amp;TEXT(T52,"０00"),"")</f>
        <v>最適化-結合-01-03-02-004</v>
      </c>
      <c r="B52" s="26" t="s">
        <v>49</v>
      </c>
      <c r="C52" s="26" t="s">
        <v>123</v>
      </c>
      <c r="D52" s="26" t="s">
        <v>62</v>
      </c>
      <c r="E52" s="43" t="s">
        <v>44</v>
      </c>
      <c r="F52" s="43"/>
      <c r="G52" s="91" t="s">
        <v>264</v>
      </c>
      <c r="H52" s="91" t="s">
        <v>260</v>
      </c>
      <c r="I52" s="66">
        <v>44963</v>
      </c>
      <c r="J52" s="67" t="s">
        <v>320</v>
      </c>
      <c r="K52" s="68" t="s">
        <v>321</v>
      </c>
      <c r="L52" s="26"/>
      <c r="M52" s="26"/>
      <c r="R52" s="33">
        <f t="shared" si="0"/>
        <v>3</v>
      </c>
      <c r="S52" s="33">
        <f t="shared" si="1"/>
        <v>2</v>
      </c>
      <c r="T52" s="33">
        <f t="shared" si="2"/>
        <v>4</v>
      </c>
    </row>
    <row r="53" spans="1:20" s="25" customFormat="1" ht="31.5" x14ac:dyDescent="0.15">
      <c r="A53" s="51" t="str">
        <f ca="1">IF(B53&lt;&gt;"",表紙!$AB$1&amp;"-"&amp;"結合-"&amp;TEXT($S$1,"00")&amp;"-"&amp;TEXT(R53,"00")&amp;"-"&amp;TEXT(S53,"00")&amp;"-"&amp;TEXT(T53,"０00"),"")</f>
        <v>最適化-結合-01-03-02-005</v>
      </c>
      <c r="B53" s="26" t="s">
        <v>49</v>
      </c>
      <c r="C53" s="26" t="s">
        <v>123</v>
      </c>
      <c r="D53" s="26" t="s">
        <v>55</v>
      </c>
      <c r="E53" s="43" t="s">
        <v>44</v>
      </c>
      <c r="F53" s="43"/>
      <c r="G53" s="91" t="s">
        <v>265</v>
      </c>
      <c r="H53" s="91" t="s">
        <v>260</v>
      </c>
      <c r="I53" s="66">
        <v>44963</v>
      </c>
      <c r="J53" s="67" t="s">
        <v>320</v>
      </c>
      <c r="K53" s="68" t="s">
        <v>321</v>
      </c>
      <c r="L53" s="26"/>
      <c r="M53" s="26"/>
      <c r="R53" s="33">
        <f t="shared" si="0"/>
        <v>3</v>
      </c>
      <c r="S53" s="33">
        <f t="shared" si="1"/>
        <v>2</v>
      </c>
      <c r="T53" s="33">
        <f t="shared" si="2"/>
        <v>5</v>
      </c>
    </row>
    <row r="54" spans="1:20" s="25" customFormat="1" ht="31.5" x14ac:dyDescent="0.15">
      <c r="A54" s="51" t="str">
        <f ca="1">IF(B54&lt;&gt;"",表紙!$AB$1&amp;"-"&amp;"結合-"&amp;TEXT($S$1,"00")&amp;"-"&amp;TEXT(R54,"00")&amp;"-"&amp;TEXT(S54,"00")&amp;"-"&amp;TEXT(T54,"０00"),"")</f>
        <v>最適化-結合-01-03-02-006</v>
      </c>
      <c r="B54" s="26" t="s">
        <v>49</v>
      </c>
      <c r="C54" s="26" t="s">
        <v>123</v>
      </c>
      <c r="D54" s="26" t="s">
        <v>56</v>
      </c>
      <c r="E54" s="43" t="s">
        <v>44</v>
      </c>
      <c r="F54" s="43"/>
      <c r="G54" s="91" t="s">
        <v>266</v>
      </c>
      <c r="H54" s="91" t="s">
        <v>260</v>
      </c>
      <c r="I54" s="66">
        <v>44963</v>
      </c>
      <c r="J54" s="67" t="s">
        <v>320</v>
      </c>
      <c r="K54" s="68" t="s">
        <v>321</v>
      </c>
      <c r="L54" s="26"/>
      <c r="M54" s="26"/>
      <c r="R54" s="33">
        <f t="shared" si="0"/>
        <v>3</v>
      </c>
      <c r="S54" s="33">
        <f t="shared" si="1"/>
        <v>2</v>
      </c>
      <c r="T54" s="33">
        <f t="shared" si="2"/>
        <v>6</v>
      </c>
    </row>
    <row r="55" spans="1:20" s="25" customFormat="1" ht="31.5" x14ac:dyDescent="0.15">
      <c r="A55" s="51" t="str">
        <f ca="1">IF(B55&lt;&gt;"",表紙!$AB$1&amp;"-"&amp;"結合-"&amp;TEXT($S$1,"00")&amp;"-"&amp;TEXT(R55,"00")&amp;"-"&amp;TEXT(S55,"00")&amp;"-"&amp;TEXT(T55,"０00"),"")</f>
        <v>最適化-結合-01-03-02-007</v>
      </c>
      <c r="B55" s="26" t="s">
        <v>49</v>
      </c>
      <c r="C55" s="26" t="s">
        <v>123</v>
      </c>
      <c r="D55" s="26" t="s">
        <v>57</v>
      </c>
      <c r="E55" s="43" t="s">
        <v>44</v>
      </c>
      <c r="F55" s="43"/>
      <c r="G55" s="91" t="s">
        <v>267</v>
      </c>
      <c r="H55" s="91" t="s">
        <v>260</v>
      </c>
      <c r="I55" s="66">
        <v>44963</v>
      </c>
      <c r="J55" s="67" t="s">
        <v>320</v>
      </c>
      <c r="K55" s="68" t="s">
        <v>321</v>
      </c>
      <c r="L55" s="26"/>
      <c r="M55" s="26"/>
      <c r="R55" s="33">
        <f t="shared" si="0"/>
        <v>3</v>
      </c>
      <c r="S55" s="33">
        <f t="shared" si="1"/>
        <v>2</v>
      </c>
      <c r="T55" s="33">
        <f t="shared" si="2"/>
        <v>7</v>
      </c>
    </row>
    <row r="56" spans="1:20" s="25" customFormat="1" ht="42" x14ac:dyDescent="0.15">
      <c r="A56" s="51" t="str">
        <f ca="1">IF(B56&lt;&gt;"",表紙!$AB$1&amp;"-"&amp;"結合-"&amp;TEXT($S$1,"00")&amp;"-"&amp;TEXT(R56,"00")&amp;"-"&amp;TEXT(S56,"00")&amp;"-"&amp;TEXT(T56,"０00"),"")</f>
        <v>最適化-結合-01-04-01-001</v>
      </c>
      <c r="B56" s="26" t="s">
        <v>81</v>
      </c>
      <c r="C56" s="26" t="s">
        <v>313</v>
      </c>
      <c r="D56" s="26" t="s">
        <v>158</v>
      </c>
      <c r="E56" s="43" t="s">
        <v>45</v>
      </c>
      <c r="F56" s="43"/>
      <c r="G56" s="91" t="s">
        <v>206</v>
      </c>
      <c r="H56" s="91" t="s">
        <v>168</v>
      </c>
      <c r="I56" s="66">
        <v>44963</v>
      </c>
      <c r="J56" s="67" t="s">
        <v>320</v>
      </c>
      <c r="K56" s="68" t="s">
        <v>321</v>
      </c>
      <c r="L56" s="26"/>
      <c r="M56" s="26"/>
      <c r="R56" s="33">
        <f t="shared" si="0"/>
        <v>4</v>
      </c>
      <c r="S56" s="33">
        <f t="shared" si="1"/>
        <v>1</v>
      </c>
      <c r="T56" s="33">
        <f t="shared" si="2"/>
        <v>1</v>
      </c>
    </row>
    <row r="57" spans="1:20" s="25" customFormat="1" ht="42" x14ac:dyDescent="0.15">
      <c r="A57" s="51" t="str">
        <f ca="1">IF(B57&lt;&gt;"",表紙!$AB$1&amp;"-"&amp;"結合-"&amp;TEXT($S$1,"00")&amp;"-"&amp;TEXT(R57,"00")&amp;"-"&amp;TEXT(S57,"00")&amp;"-"&amp;TEXT(T57,"０00"),"")</f>
        <v>最適化-結合-01-04-01-002</v>
      </c>
      <c r="B57" s="26" t="s">
        <v>81</v>
      </c>
      <c r="C57" s="26" t="s">
        <v>313</v>
      </c>
      <c r="D57" s="26" t="s">
        <v>100</v>
      </c>
      <c r="E57" s="43" t="s">
        <v>45</v>
      </c>
      <c r="F57" s="43"/>
      <c r="G57" s="91" t="s">
        <v>207</v>
      </c>
      <c r="H57" s="91" t="s">
        <v>168</v>
      </c>
      <c r="I57" s="66">
        <v>44963</v>
      </c>
      <c r="J57" s="67" t="s">
        <v>320</v>
      </c>
      <c r="K57" s="68" t="s">
        <v>321</v>
      </c>
      <c r="L57" s="26"/>
      <c r="M57" s="26"/>
      <c r="R57" s="33">
        <f t="shared" si="0"/>
        <v>4</v>
      </c>
      <c r="S57" s="33">
        <f t="shared" si="1"/>
        <v>1</v>
      </c>
      <c r="T57" s="33">
        <f t="shared" si="2"/>
        <v>2</v>
      </c>
    </row>
    <row r="58" spans="1:20" s="25" customFormat="1" ht="42" x14ac:dyDescent="0.15">
      <c r="A58" s="51" t="str">
        <f ca="1">IF(B58&lt;&gt;"",表紙!$AB$1&amp;"-"&amp;"結合-"&amp;TEXT($S$1,"00")&amp;"-"&amp;TEXT(R58,"00")&amp;"-"&amp;TEXT(S58,"00")&amp;"-"&amp;TEXT(T58,"０00"),"")</f>
        <v>最適化-結合-01-04-02-001</v>
      </c>
      <c r="B58" s="26" t="s">
        <v>81</v>
      </c>
      <c r="C58" s="26" t="s">
        <v>314</v>
      </c>
      <c r="D58" s="26" t="s">
        <v>157</v>
      </c>
      <c r="E58" s="43" t="s">
        <v>45</v>
      </c>
      <c r="F58" s="43"/>
      <c r="G58" s="91" t="s">
        <v>208</v>
      </c>
      <c r="H58" s="91" t="s">
        <v>168</v>
      </c>
      <c r="I58" s="66">
        <v>44963</v>
      </c>
      <c r="J58" s="67" t="s">
        <v>320</v>
      </c>
      <c r="K58" s="68" t="s">
        <v>321</v>
      </c>
      <c r="L58" s="26"/>
      <c r="M58" s="26"/>
      <c r="R58" s="33">
        <f t="shared" si="0"/>
        <v>4</v>
      </c>
      <c r="S58" s="33">
        <f t="shared" si="1"/>
        <v>2</v>
      </c>
      <c r="T58" s="33">
        <f t="shared" si="2"/>
        <v>1</v>
      </c>
    </row>
    <row r="59" spans="1:20" s="25" customFormat="1" ht="21" x14ac:dyDescent="0.15">
      <c r="A59" s="51" t="str">
        <f ca="1">IF(B59&lt;&gt;"",表紙!$AB$1&amp;"-"&amp;"結合-"&amp;TEXT($S$1,"00")&amp;"-"&amp;TEXT(R59,"00")&amp;"-"&amp;TEXT(S59,"00")&amp;"-"&amp;TEXT(T59,"０00"),"")</f>
        <v>最適化-結合-01-04-03-001</v>
      </c>
      <c r="B59" s="26" t="s">
        <v>81</v>
      </c>
      <c r="C59" s="26" t="s">
        <v>122</v>
      </c>
      <c r="D59" s="26" t="s">
        <v>87</v>
      </c>
      <c r="E59" s="43" t="s">
        <v>45</v>
      </c>
      <c r="F59" s="43"/>
      <c r="G59" s="91"/>
      <c r="H59" s="91"/>
      <c r="I59" s="66"/>
      <c r="J59" s="67"/>
      <c r="K59" s="68"/>
      <c r="L59" s="26"/>
      <c r="M59" s="26" t="str">
        <f ca="1">$A$56</f>
        <v>最適化-結合-01-04-01-001</v>
      </c>
      <c r="R59" s="33">
        <f t="shared" si="0"/>
        <v>4</v>
      </c>
      <c r="S59" s="33">
        <f t="shared" si="1"/>
        <v>3</v>
      </c>
      <c r="T59" s="33">
        <f t="shared" si="2"/>
        <v>1</v>
      </c>
    </row>
    <row r="60" spans="1:20" s="25" customFormat="1" ht="42" x14ac:dyDescent="0.15">
      <c r="A60" s="51" t="str">
        <f ca="1">IF(B60&lt;&gt;"",表紙!$AB$1&amp;"-"&amp;"結合-"&amp;TEXT($S$1,"00")&amp;"-"&amp;TEXT(R60,"00")&amp;"-"&amp;TEXT(S60,"00")&amp;"-"&amp;TEXT(T60,"０00"),"")</f>
        <v>最適化-結合-01-04-03-002</v>
      </c>
      <c r="B60" s="26" t="s">
        <v>81</v>
      </c>
      <c r="C60" s="26" t="s">
        <v>122</v>
      </c>
      <c r="D60" s="26" t="s">
        <v>86</v>
      </c>
      <c r="E60" s="43" t="s">
        <v>45</v>
      </c>
      <c r="F60" s="43"/>
      <c r="G60" s="91" t="s">
        <v>209</v>
      </c>
      <c r="H60" s="91" t="s">
        <v>168</v>
      </c>
      <c r="I60" s="66">
        <v>44963</v>
      </c>
      <c r="J60" s="67" t="s">
        <v>320</v>
      </c>
      <c r="K60" s="68" t="s">
        <v>321</v>
      </c>
      <c r="L60" s="26"/>
      <c r="M60" s="26"/>
      <c r="R60" s="33">
        <f t="shared" si="0"/>
        <v>4</v>
      </c>
      <c r="S60" s="33">
        <f t="shared" si="1"/>
        <v>3</v>
      </c>
      <c r="T60" s="33">
        <f t="shared" si="2"/>
        <v>2</v>
      </c>
    </row>
    <row r="61" spans="1:20" s="25" customFormat="1" ht="42" x14ac:dyDescent="0.15">
      <c r="A61" s="51" t="str">
        <f ca="1">IF(B61&lt;&gt;"",表紙!$AB$1&amp;"-"&amp;"結合-"&amp;TEXT($S$1,"00")&amp;"-"&amp;TEXT(R61,"00")&amp;"-"&amp;TEXT(S61,"00")&amp;"-"&amp;TEXT(T61,"０00"),"")</f>
        <v>最適化-結合-01-04-03-003</v>
      </c>
      <c r="B61" s="26" t="s">
        <v>81</v>
      </c>
      <c r="C61" s="26" t="s">
        <v>122</v>
      </c>
      <c r="D61" s="26" t="s">
        <v>90</v>
      </c>
      <c r="E61" s="43" t="s">
        <v>45</v>
      </c>
      <c r="F61" s="43"/>
      <c r="G61" s="91" t="s">
        <v>210</v>
      </c>
      <c r="H61" s="91" t="s">
        <v>168</v>
      </c>
      <c r="I61" s="66">
        <v>44963</v>
      </c>
      <c r="J61" s="67" t="s">
        <v>320</v>
      </c>
      <c r="K61" s="68" t="s">
        <v>321</v>
      </c>
      <c r="L61" s="26"/>
      <c r="M61" s="26"/>
      <c r="R61" s="33">
        <f t="shared" si="0"/>
        <v>4</v>
      </c>
      <c r="S61" s="33">
        <f t="shared" si="1"/>
        <v>3</v>
      </c>
      <c r="T61" s="33">
        <f t="shared" si="2"/>
        <v>3</v>
      </c>
    </row>
    <row r="62" spans="1:20" s="25" customFormat="1" ht="42" x14ac:dyDescent="0.15">
      <c r="A62" s="51" t="str">
        <f ca="1">IF(B62&lt;&gt;"",表紙!$AB$1&amp;"-"&amp;"結合-"&amp;TEXT($S$1,"00")&amp;"-"&amp;TEXT(R62,"00")&amp;"-"&amp;TEXT(S62,"00")&amp;"-"&amp;TEXT(T62,"０00"),"")</f>
        <v>最適化-結合-01-04-04-001</v>
      </c>
      <c r="B62" s="26" t="s">
        <v>81</v>
      </c>
      <c r="C62" s="26" t="s">
        <v>121</v>
      </c>
      <c r="D62" s="26" t="s">
        <v>87</v>
      </c>
      <c r="E62" s="43" t="s">
        <v>45</v>
      </c>
      <c r="F62" s="43"/>
      <c r="G62" s="91" t="s">
        <v>211</v>
      </c>
      <c r="H62" s="91" t="s">
        <v>168</v>
      </c>
      <c r="I62" s="66">
        <v>44964</v>
      </c>
      <c r="J62" s="67" t="s">
        <v>320</v>
      </c>
      <c r="K62" s="68" t="s">
        <v>321</v>
      </c>
      <c r="L62" s="26"/>
      <c r="M62" s="26"/>
      <c r="R62" s="33">
        <f t="shared" si="0"/>
        <v>4</v>
      </c>
      <c r="S62" s="33">
        <f t="shared" si="1"/>
        <v>4</v>
      </c>
      <c r="T62" s="33">
        <f t="shared" si="2"/>
        <v>1</v>
      </c>
    </row>
    <row r="63" spans="1:20" s="25" customFormat="1" ht="42" x14ac:dyDescent="0.15">
      <c r="A63" s="51" t="str">
        <f ca="1">IF(B63&lt;&gt;"",表紙!$AB$1&amp;"-"&amp;"結合-"&amp;TEXT($S$1,"00")&amp;"-"&amp;TEXT(R63,"00")&amp;"-"&amp;TEXT(S63,"00")&amp;"-"&amp;TEXT(T63,"０00"),"")</f>
        <v>最適化-結合-01-04-04-002</v>
      </c>
      <c r="B63" s="26" t="s">
        <v>81</v>
      </c>
      <c r="C63" s="26" t="s">
        <v>121</v>
      </c>
      <c r="D63" s="26" t="s">
        <v>86</v>
      </c>
      <c r="E63" s="43" t="s">
        <v>45</v>
      </c>
      <c r="F63" s="43"/>
      <c r="G63" s="91" t="s">
        <v>212</v>
      </c>
      <c r="H63" s="91" t="s">
        <v>168</v>
      </c>
      <c r="I63" s="66">
        <v>44964</v>
      </c>
      <c r="J63" s="67" t="s">
        <v>320</v>
      </c>
      <c r="K63" s="68" t="s">
        <v>321</v>
      </c>
      <c r="L63" s="26"/>
      <c r="M63" s="26"/>
      <c r="R63" s="33">
        <f t="shared" si="0"/>
        <v>4</v>
      </c>
      <c r="S63" s="33">
        <f t="shared" si="1"/>
        <v>4</v>
      </c>
      <c r="T63" s="33">
        <f t="shared" si="2"/>
        <v>2</v>
      </c>
    </row>
    <row r="64" spans="1:20" s="25" customFormat="1" ht="42" x14ac:dyDescent="0.15">
      <c r="A64" s="51" t="str">
        <f ca="1">IF(B64&lt;&gt;"",表紙!$AB$1&amp;"-"&amp;"結合-"&amp;TEXT($S$1,"00")&amp;"-"&amp;TEXT(R64,"00")&amp;"-"&amp;TEXT(S64,"00")&amp;"-"&amp;TEXT(T64,"０00"),"")</f>
        <v>最適化-結合-01-04-04-003</v>
      </c>
      <c r="B64" s="26" t="s">
        <v>81</v>
      </c>
      <c r="C64" s="26" t="s">
        <v>121</v>
      </c>
      <c r="D64" s="26" t="s">
        <v>140</v>
      </c>
      <c r="E64" s="43" t="s">
        <v>45</v>
      </c>
      <c r="F64" s="43"/>
      <c r="G64" s="91" t="s">
        <v>213</v>
      </c>
      <c r="H64" s="91" t="s">
        <v>168</v>
      </c>
      <c r="I64" s="66">
        <v>44964</v>
      </c>
      <c r="J64" s="67" t="s">
        <v>320</v>
      </c>
      <c r="K64" s="68" t="s">
        <v>321</v>
      </c>
      <c r="L64" s="26"/>
      <c r="M64" s="26"/>
      <c r="R64" s="33">
        <f t="shared" si="0"/>
        <v>4</v>
      </c>
      <c r="S64" s="33">
        <f t="shared" si="1"/>
        <v>4</v>
      </c>
      <c r="T64" s="33">
        <f t="shared" si="2"/>
        <v>3</v>
      </c>
    </row>
    <row r="65" spans="1:20" s="25" customFormat="1" ht="199.5" x14ac:dyDescent="0.15">
      <c r="A65" s="51" t="str">
        <f ca="1">IF(B65&lt;&gt;"",表紙!$AB$1&amp;"-"&amp;"結合-"&amp;TEXT($S$1,"00")&amp;"-"&amp;TEXT(R65,"00")&amp;"-"&amp;TEXT(S65,"00")&amp;"-"&amp;TEXT(T65,"０00"),"")</f>
        <v>最適化-結合-01-04-05-001</v>
      </c>
      <c r="B65" s="26" t="s">
        <v>81</v>
      </c>
      <c r="C65" s="26" t="s">
        <v>120</v>
      </c>
      <c r="D65" s="26" t="s">
        <v>111</v>
      </c>
      <c r="E65" s="43" t="s">
        <v>45</v>
      </c>
      <c r="F65" s="43"/>
      <c r="G65" s="91" t="s">
        <v>258</v>
      </c>
      <c r="H65" s="91" t="s">
        <v>237</v>
      </c>
      <c r="I65" s="66">
        <v>44964</v>
      </c>
      <c r="J65" s="67" t="s">
        <v>320</v>
      </c>
      <c r="K65" s="68" t="s">
        <v>321</v>
      </c>
      <c r="L65" s="26"/>
      <c r="M65" s="26"/>
      <c r="R65" s="33">
        <f t="shared" si="0"/>
        <v>4</v>
      </c>
      <c r="S65" s="33">
        <f t="shared" si="1"/>
        <v>5</v>
      </c>
      <c r="T65" s="33">
        <f t="shared" si="2"/>
        <v>1</v>
      </c>
    </row>
    <row r="66" spans="1:20" s="25" customFormat="1" ht="136.5" x14ac:dyDescent="0.15">
      <c r="A66" s="51" t="str">
        <f ca="1">IF(B66&lt;&gt;"",表紙!$AB$1&amp;"-"&amp;"結合-"&amp;TEXT($S$1,"00")&amp;"-"&amp;TEXT(R66,"00")&amp;"-"&amp;TEXT(S66,"00")&amp;"-"&amp;TEXT(T66,"０00"),"")</f>
        <v>最適化-結合-01-04-06-001</v>
      </c>
      <c r="B66" s="26" t="s">
        <v>81</v>
      </c>
      <c r="C66" s="26" t="s">
        <v>119</v>
      </c>
      <c r="D66" s="26" t="s">
        <v>111</v>
      </c>
      <c r="E66" s="43" t="s">
        <v>45</v>
      </c>
      <c r="F66" s="43"/>
      <c r="G66" s="91" t="s">
        <v>259</v>
      </c>
      <c r="H66" s="91" t="s">
        <v>236</v>
      </c>
      <c r="I66" s="66">
        <v>44964</v>
      </c>
      <c r="J66" s="67" t="s">
        <v>320</v>
      </c>
      <c r="K66" s="68" t="s">
        <v>321</v>
      </c>
      <c r="L66" s="26"/>
      <c r="M66" s="26"/>
      <c r="R66" s="33">
        <f t="shared" si="0"/>
        <v>4</v>
      </c>
      <c r="S66" s="33">
        <f t="shared" si="1"/>
        <v>6</v>
      </c>
      <c r="T66" s="33">
        <f t="shared" si="2"/>
        <v>1</v>
      </c>
    </row>
    <row r="67" spans="1:20" s="25" customFormat="1" ht="42" x14ac:dyDescent="0.15">
      <c r="A67" s="51" t="str">
        <f ca="1">IF(B67&lt;&gt;"",表紙!$AB$1&amp;"-"&amp;"結合-"&amp;TEXT($S$1,"00")&amp;"-"&amp;TEXT(R67,"00")&amp;"-"&amp;TEXT(S67,"00")&amp;"-"&amp;TEXT(T67,"０00"),"")</f>
        <v>最適化-結合-01-04-07-001</v>
      </c>
      <c r="B67" s="26" t="s">
        <v>81</v>
      </c>
      <c r="C67" s="26" t="s">
        <v>118</v>
      </c>
      <c r="D67" s="26" t="s">
        <v>91</v>
      </c>
      <c r="E67" s="43" t="s">
        <v>45</v>
      </c>
      <c r="F67" s="43"/>
      <c r="G67" s="91" t="s">
        <v>238</v>
      </c>
      <c r="H67" s="91" t="s">
        <v>168</v>
      </c>
      <c r="I67" s="66">
        <v>44964</v>
      </c>
      <c r="J67" s="67" t="s">
        <v>320</v>
      </c>
      <c r="K67" s="68" t="s">
        <v>321</v>
      </c>
      <c r="L67" s="26"/>
      <c r="M67" s="26"/>
      <c r="R67" s="33">
        <f t="shared" si="0"/>
        <v>4</v>
      </c>
      <c r="S67" s="33">
        <f t="shared" si="1"/>
        <v>7</v>
      </c>
      <c r="T67" s="33">
        <f t="shared" si="2"/>
        <v>1</v>
      </c>
    </row>
    <row r="68" spans="1:20" s="25" customFormat="1" ht="42" x14ac:dyDescent="0.15">
      <c r="A68" s="51" t="str">
        <f ca="1">IF(B68&lt;&gt;"",表紙!$AB$1&amp;"-"&amp;"結合-"&amp;TEXT($S$1,"00")&amp;"-"&amp;TEXT(R68,"00")&amp;"-"&amp;TEXT(S68,"00")&amp;"-"&amp;TEXT(T68,"０00"),"")</f>
        <v>最適化-結合-01-04-07-002</v>
      </c>
      <c r="B68" s="26" t="s">
        <v>81</v>
      </c>
      <c r="C68" s="26" t="s">
        <v>118</v>
      </c>
      <c r="D68" s="26" t="s">
        <v>92</v>
      </c>
      <c r="E68" s="43" t="s">
        <v>45</v>
      </c>
      <c r="F68" s="43"/>
      <c r="G68" s="91" t="s">
        <v>241</v>
      </c>
      <c r="H68" s="91" t="s">
        <v>168</v>
      </c>
      <c r="I68" s="66">
        <v>44964</v>
      </c>
      <c r="J68" s="67" t="s">
        <v>320</v>
      </c>
      <c r="K68" s="68" t="s">
        <v>321</v>
      </c>
      <c r="L68" s="26"/>
      <c r="M68" s="26"/>
      <c r="R68" s="33">
        <f t="shared" ref="R68:R78" si="3">IF(ROW()&lt;&gt;3,IF(B67&lt;&gt;B68,R67+1,R67),1)</f>
        <v>4</v>
      </c>
      <c r="S68" s="33">
        <f t="shared" ref="S68:S78" si="4">IF(B67=B68,IF(C67&lt;&gt;C68,S67+1,S67),1)</f>
        <v>7</v>
      </c>
      <c r="T68" s="33">
        <f t="shared" ref="T68:T78" si="5">IF(B67&lt;&gt;B68,1,IF(C67=C68,T67+1,1))</f>
        <v>2</v>
      </c>
    </row>
    <row r="69" spans="1:20" s="25" customFormat="1" ht="42" x14ac:dyDescent="0.15">
      <c r="A69" s="51" t="str">
        <f ca="1">IF(B69&lt;&gt;"",表紙!$AB$1&amp;"-"&amp;"結合-"&amp;TEXT($S$1,"00")&amp;"-"&amp;TEXT(R69,"00")&amp;"-"&amp;TEXT(S69,"00")&amp;"-"&amp;TEXT(T69,"０00"),"")</f>
        <v>最適化-結合-01-04-08-001</v>
      </c>
      <c r="B69" s="26" t="s">
        <v>81</v>
      </c>
      <c r="C69" s="26" t="s">
        <v>117</v>
      </c>
      <c r="D69" s="26" t="s">
        <v>91</v>
      </c>
      <c r="E69" s="43" t="s">
        <v>45</v>
      </c>
      <c r="F69" s="43"/>
      <c r="G69" s="91" t="s">
        <v>240</v>
      </c>
      <c r="H69" s="91" t="s">
        <v>168</v>
      </c>
      <c r="I69" s="66">
        <v>44964</v>
      </c>
      <c r="J69" s="67" t="s">
        <v>320</v>
      </c>
      <c r="K69" s="68" t="s">
        <v>321</v>
      </c>
      <c r="L69" s="26"/>
      <c r="M69" s="26"/>
      <c r="R69" s="33">
        <f t="shared" si="3"/>
        <v>4</v>
      </c>
      <c r="S69" s="33">
        <f t="shared" si="4"/>
        <v>8</v>
      </c>
      <c r="T69" s="33">
        <f t="shared" si="5"/>
        <v>1</v>
      </c>
    </row>
    <row r="70" spans="1:20" s="25" customFormat="1" ht="42" x14ac:dyDescent="0.15">
      <c r="A70" s="51" t="str">
        <f ca="1">IF(B70&lt;&gt;"",表紙!$AB$1&amp;"-"&amp;"結合-"&amp;TEXT($S$1,"00")&amp;"-"&amp;TEXT(R70,"00")&amp;"-"&amp;TEXT(S70,"00")&amp;"-"&amp;TEXT(T70,"０00"),"")</f>
        <v>最適化-結合-01-04-08-002</v>
      </c>
      <c r="B70" s="26" t="s">
        <v>81</v>
      </c>
      <c r="C70" s="26" t="s">
        <v>117</v>
      </c>
      <c r="D70" s="26" t="s">
        <v>92</v>
      </c>
      <c r="E70" s="43" t="s">
        <v>45</v>
      </c>
      <c r="F70" s="43"/>
      <c r="G70" s="91" t="s">
        <v>239</v>
      </c>
      <c r="H70" s="91" t="s">
        <v>168</v>
      </c>
      <c r="I70" s="66">
        <v>44964</v>
      </c>
      <c r="J70" s="67" t="s">
        <v>320</v>
      </c>
      <c r="K70" s="68" t="s">
        <v>321</v>
      </c>
      <c r="L70" s="26"/>
      <c r="M70" s="26"/>
      <c r="R70" s="33">
        <f t="shared" si="3"/>
        <v>4</v>
      </c>
      <c r="S70" s="33">
        <f t="shared" si="4"/>
        <v>8</v>
      </c>
      <c r="T70" s="33">
        <f t="shared" si="5"/>
        <v>2</v>
      </c>
    </row>
    <row r="71" spans="1:20" s="25" customFormat="1" ht="42" x14ac:dyDescent="0.15">
      <c r="A71" s="51" t="str">
        <f ca="1">IF(B71&lt;&gt;"",表紙!$AB$1&amp;"-"&amp;"結合-"&amp;TEXT($S$1,"00")&amp;"-"&amp;TEXT(R71,"00")&amp;"-"&amp;TEXT(S71,"00")&amp;"-"&amp;TEXT(T71,"０00"),"")</f>
        <v>最適化-結合-01-04-09-001</v>
      </c>
      <c r="B71" s="26" t="s">
        <v>81</v>
      </c>
      <c r="C71" s="26" t="s">
        <v>116</v>
      </c>
      <c r="D71" s="26" t="s">
        <v>143</v>
      </c>
      <c r="E71" s="43" t="s">
        <v>45</v>
      </c>
      <c r="F71" s="43"/>
      <c r="G71" s="91" t="s">
        <v>276</v>
      </c>
      <c r="H71" s="91" t="s">
        <v>168</v>
      </c>
      <c r="I71" s="66">
        <v>44964</v>
      </c>
      <c r="J71" s="67" t="s">
        <v>320</v>
      </c>
      <c r="K71" s="68" t="s">
        <v>321</v>
      </c>
      <c r="L71" s="26"/>
      <c r="M71" s="26"/>
      <c r="R71" s="33">
        <f t="shared" si="3"/>
        <v>4</v>
      </c>
      <c r="S71" s="33">
        <f t="shared" si="4"/>
        <v>9</v>
      </c>
      <c r="T71" s="33">
        <f t="shared" si="5"/>
        <v>1</v>
      </c>
    </row>
    <row r="72" spans="1:20" s="25" customFormat="1" ht="42" x14ac:dyDescent="0.15">
      <c r="A72" s="51" t="str">
        <f ca="1">IF(B72&lt;&gt;"",表紙!$AB$1&amp;"-"&amp;"結合-"&amp;TEXT($S$1,"00")&amp;"-"&amp;TEXT(R72,"00")&amp;"-"&amp;TEXT(S72,"00")&amp;"-"&amp;TEXT(T72,"０00"),"")</f>
        <v>最適化-結合-01-04-09-002</v>
      </c>
      <c r="B72" s="26" t="s">
        <v>81</v>
      </c>
      <c r="C72" s="26" t="s">
        <v>116</v>
      </c>
      <c r="D72" s="26" t="s">
        <v>101</v>
      </c>
      <c r="E72" s="43" t="s">
        <v>45</v>
      </c>
      <c r="F72" s="43"/>
      <c r="G72" s="91" t="s">
        <v>277</v>
      </c>
      <c r="H72" s="91" t="s">
        <v>168</v>
      </c>
      <c r="I72" s="66">
        <v>44964</v>
      </c>
      <c r="J72" s="67" t="s">
        <v>320</v>
      </c>
      <c r="K72" s="68" t="s">
        <v>321</v>
      </c>
      <c r="L72" s="26"/>
      <c r="M72" s="26"/>
      <c r="R72" s="33">
        <f t="shared" si="3"/>
        <v>4</v>
      </c>
      <c r="S72" s="33">
        <f t="shared" si="4"/>
        <v>9</v>
      </c>
      <c r="T72" s="33">
        <f t="shared" si="5"/>
        <v>2</v>
      </c>
    </row>
    <row r="73" spans="1:20" s="25" customFormat="1" ht="42" x14ac:dyDescent="0.15">
      <c r="A73" s="51" t="str">
        <f ca="1">IF(B73&lt;&gt;"",表紙!$AB$1&amp;"-"&amp;"結合-"&amp;TEXT($S$1,"00")&amp;"-"&amp;TEXT(R73,"00")&amp;"-"&amp;TEXT(S73,"00")&amp;"-"&amp;TEXT(T73,"０00"),"")</f>
        <v>最適化-結合-01-04-10-001</v>
      </c>
      <c r="B73" s="26" t="s">
        <v>81</v>
      </c>
      <c r="C73" s="26" t="s">
        <v>114</v>
      </c>
      <c r="D73" s="26" t="s">
        <v>115</v>
      </c>
      <c r="E73" s="43" t="s">
        <v>45</v>
      </c>
      <c r="F73" s="43"/>
      <c r="G73" s="91" t="s">
        <v>302</v>
      </c>
      <c r="H73" s="91" t="s">
        <v>168</v>
      </c>
      <c r="I73" s="66">
        <v>44964</v>
      </c>
      <c r="J73" s="67" t="s">
        <v>320</v>
      </c>
      <c r="K73" s="68" t="s">
        <v>321</v>
      </c>
      <c r="L73" s="26"/>
      <c r="M73" s="26"/>
      <c r="R73" s="33">
        <f t="shared" si="3"/>
        <v>4</v>
      </c>
      <c r="S73" s="33">
        <f t="shared" si="4"/>
        <v>10</v>
      </c>
      <c r="T73" s="33">
        <f t="shared" si="5"/>
        <v>1</v>
      </c>
    </row>
    <row r="74" spans="1:20" s="25" customFormat="1" ht="42" x14ac:dyDescent="0.15">
      <c r="A74" s="51" t="str">
        <f ca="1">IF(B74&lt;&gt;"",表紙!$AB$1&amp;"-"&amp;"結合-"&amp;TEXT($S$1,"00")&amp;"-"&amp;TEXT(R74,"00")&amp;"-"&amp;TEXT(S74,"00")&amp;"-"&amp;TEXT(T74,"０00"),"")</f>
        <v>最適化-結合-01-04-10-002</v>
      </c>
      <c r="B74" s="26" t="s">
        <v>81</v>
      </c>
      <c r="C74" s="26" t="s">
        <v>114</v>
      </c>
      <c r="D74" s="26" t="s">
        <v>113</v>
      </c>
      <c r="E74" s="43" t="s">
        <v>45</v>
      </c>
      <c r="F74" s="43"/>
      <c r="G74" s="91" t="s">
        <v>303</v>
      </c>
      <c r="H74" s="91" t="s">
        <v>168</v>
      </c>
      <c r="I74" s="66">
        <v>44964</v>
      </c>
      <c r="J74" s="67" t="s">
        <v>320</v>
      </c>
      <c r="K74" s="68" t="s">
        <v>321</v>
      </c>
      <c r="L74" s="26"/>
      <c r="M74" s="26"/>
      <c r="R74" s="33">
        <f t="shared" si="3"/>
        <v>4</v>
      </c>
      <c r="S74" s="33">
        <f t="shared" si="4"/>
        <v>10</v>
      </c>
      <c r="T74" s="33">
        <f t="shared" si="5"/>
        <v>2</v>
      </c>
    </row>
    <row r="75" spans="1:20" s="25" customFormat="1" ht="220.5" x14ac:dyDescent="0.15">
      <c r="A75" s="51" t="str">
        <f ca="1">IF(B75&lt;&gt;"",表紙!$AB$1&amp;"-"&amp;"結合-"&amp;TEXT($S$1,"00")&amp;"-"&amp;TEXT(R75,"00")&amp;"-"&amp;TEXT(S75,"00")&amp;"-"&amp;TEXT(T75,"０00"),"")</f>
        <v>最適化-結合-01-04-11-001</v>
      </c>
      <c r="B75" s="26" t="s">
        <v>81</v>
      </c>
      <c r="C75" s="26" t="s">
        <v>112</v>
      </c>
      <c r="D75" s="26" t="s">
        <v>111</v>
      </c>
      <c r="E75" s="43" t="s">
        <v>45</v>
      </c>
      <c r="F75" s="43"/>
      <c r="G75" s="91" t="s">
        <v>307</v>
      </c>
      <c r="H75" s="91" t="s">
        <v>306</v>
      </c>
      <c r="I75" s="66">
        <v>44964</v>
      </c>
      <c r="J75" s="67" t="s">
        <v>320</v>
      </c>
      <c r="K75" s="68" t="s">
        <v>321</v>
      </c>
      <c r="L75" s="26"/>
      <c r="M75" s="26"/>
      <c r="R75" s="33">
        <f t="shared" si="3"/>
        <v>4</v>
      </c>
      <c r="S75" s="33">
        <f t="shared" si="4"/>
        <v>11</v>
      </c>
      <c r="T75" s="33">
        <f t="shared" si="5"/>
        <v>1</v>
      </c>
    </row>
    <row r="76" spans="1:20" s="25" customFormat="1" ht="13.5" x14ac:dyDescent="0.15">
      <c r="A76" s="51" t="str">
        <f>IF(B76&lt;&gt;"",表紙!$AB$1&amp;"-"&amp;"結合-"&amp;TEXT($S$1,"00")&amp;"-"&amp;TEXT(R76,"00")&amp;"-"&amp;TEXT(S76,"00")&amp;"-"&amp;TEXT(T76,"０00"),"")</f>
        <v/>
      </c>
      <c r="B76" s="26"/>
      <c r="C76" s="26"/>
      <c r="D76" s="26"/>
      <c r="E76" s="43"/>
      <c r="F76" s="43"/>
      <c r="G76" s="91"/>
      <c r="H76" s="91"/>
      <c r="I76" s="66"/>
      <c r="J76" s="67"/>
      <c r="K76" s="68"/>
      <c r="L76" s="26"/>
      <c r="M76" s="26"/>
      <c r="R76" s="33">
        <f t="shared" si="3"/>
        <v>5</v>
      </c>
      <c r="S76" s="33">
        <f t="shared" si="4"/>
        <v>1</v>
      </c>
      <c r="T76" s="33">
        <f t="shared" si="5"/>
        <v>1</v>
      </c>
    </row>
    <row r="77" spans="1:20" s="25" customFormat="1" ht="13.5" x14ac:dyDescent="0.15">
      <c r="A77" s="51" t="str">
        <f>IF(B77&lt;&gt;"",表紙!$AB$1&amp;"-"&amp;"結合-"&amp;TEXT($S$1,"00")&amp;"-"&amp;TEXT(R77,"00")&amp;"-"&amp;TEXT(S77,"00")&amp;"-"&amp;TEXT(T77,"０00"),"")</f>
        <v/>
      </c>
      <c r="B77" s="26"/>
      <c r="C77" s="26"/>
      <c r="D77" s="26"/>
      <c r="E77" s="43"/>
      <c r="F77" s="43"/>
      <c r="G77" s="91"/>
      <c r="H77" s="91"/>
      <c r="I77" s="27"/>
      <c r="J77" s="28"/>
      <c r="K77" s="28"/>
      <c r="L77" s="26"/>
      <c r="M77" s="26"/>
      <c r="R77" s="33">
        <f t="shared" si="3"/>
        <v>5</v>
      </c>
      <c r="S77" s="33">
        <f t="shared" si="4"/>
        <v>1</v>
      </c>
      <c r="T77" s="33">
        <f t="shared" si="5"/>
        <v>2</v>
      </c>
    </row>
    <row r="78" spans="1:20" s="25" customFormat="1" ht="13.5" x14ac:dyDescent="0.15">
      <c r="A78" s="51" t="str">
        <f>IF(B78&lt;&gt;"",表紙!$AB$1&amp;"-"&amp;"結合-"&amp;TEXT($S$1,"00")&amp;"-"&amp;TEXT(R78,"00")&amp;"-"&amp;TEXT(S78,"00")&amp;"-"&amp;TEXT(T78,"０00"),"")</f>
        <v/>
      </c>
      <c r="B78" s="26"/>
      <c r="C78" s="26"/>
      <c r="D78" s="26"/>
      <c r="E78" s="43"/>
      <c r="F78" s="43"/>
      <c r="G78" s="91"/>
      <c r="H78" s="91"/>
      <c r="I78" s="27"/>
      <c r="J78" s="28"/>
      <c r="K78" s="28"/>
      <c r="L78" s="26"/>
      <c r="M78" s="26"/>
      <c r="R78" s="33">
        <f t="shared" si="3"/>
        <v>5</v>
      </c>
      <c r="S78" s="33">
        <f t="shared" si="4"/>
        <v>1</v>
      </c>
      <c r="T78" s="33">
        <f t="shared" si="5"/>
        <v>3</v>
      </c>
    </row>
    <row r="79" spans="1:20" s="25" customFormat="1" ht="13.5" x14ac:dyDescent="0.15">
      <c r="A79" s="51" t="str">
        <f>IF(B79&lt;&gt;"",表紙!$AB$1&amp;"-"&amp;"結合-"&amp;TEXT($S$1,"00")&amp;"-"&amp;TEXT(R79,"00")&amp;"-"&amp;TEXT(S79,"00")&amp;"-"&amp;TEXT(T79,"０00"),"")</f>
        <v/>
      </c>
      <c r="B79" s="26"/>
      <c r="C79" s="26"/>
      <c r="D79" s="26"/>
      <c r="E79" s="43"/>
      <c r="F79" s="43"/>
      <c r="G79" s="91"/>
      <c r="H79" s="91"/>
      <c r="I79" s="66"/>
      <c r="J79" s="67"/>
      <c r="K79" s="68"/>
      <c r="L79" s="26"/>
      <c r="M79" s="26"/>
      <c r="R79" s="33">
        <f>IF(ROW()&lt;&gt;3,IF(B78&lt;&gt;B79,R78+1,R78),1)</f>
        <v>5</v>
      </c>
      <c r="S79" s="33">
        <f>IF(B78=B79,IF(C78&lt;&gt;C79,S78+1,S78),1)</f>
        <v>1</v>
      </c>
      <c r="T79" s="33">
        <f>IF(B78&lt;&gt;B79,1,IF(C78=C79,T78+1,1))</f>
        <v>4</v>
      </c>
    </row>
    <row r="80" spans="1:20" s="25" customFormat="1" ht="13.5" x14ac:dyDescent="0.15">
      <c r="A80" s="51" t="str">
        <f>IF(B80&lt;&gt;"",表紙!$AB$1&amp;"-"&amp;"結合-"&amp;TEXT($S$1,"00")&amp;"-"&amp;TEXT(R80,"00")&amp;"-"&amp;TEXT(S80,"00")&amp;"-"&amp;TEXT(T80,"０00"),"")</f>
        <v/>
      </c>
      <c r="B80" s="26"/>
      <c r="C80" s="26"/>
      <c r="D80" s="26"/>
      <c r="E80" s="43"/>
      <c r="F80" s="43"/>
      <c r="G80" s="91"/>
      <c r="H80" s="91"/>
      <c r="I80" s="83"/>
      <c r="J80" s="84"/>
      <c r="K80" s="84"/>
      <c r="L80" s="26"/>
      <c r="M80" s="26"/>
      <c r="R80" s="33">
        <f>IF(ROW()&lt;&gt;3,IF(B79&lt;&gt;B80,R79+1,R79),1)</f>
        <v>5</v>
      </c>
      <c r="S80" s="33">
        <f>IF(B79=B80,IF(C79&lt;&gt;C80,S79+1,S79),1)</f>
        <v>1</v>
      </c>
      <c r="T80" s="33">
        <f>IF(B79&lt;&gt;B80,1,IF(C79=C80,T79+1,1))</f>
        <v>5</v>
      </c>
    </row>
    <row r="81" spans="1:20" s="25" customFormat="1" ht="13.5" x14ac:dyDescent="0.15">
      <c r="A81" s="51" t="str">
        <f>IF(B81&lt;&gt;"",表紙!$AB$1&amp;"-"&amp;"結合-"&amp;TEXT($S$1,"00")&amp;"-"&amp;TEXT(R81,"00")&amp;"-"&amp;TEXT(S81,"00")&amp;"-"&amp;TEXT(T81,"０00"),"")</f>
        <v/>
      </c>
      <c r="B81" s="26"/>
      <c r="C81" s="26"/>
      <c r="D81" s="26"/>
      <c r="E81" s="43"/>
      <c r="F81" s="43"/>
      <c r="G81" s="91"/>
      <c r="H81" s="91"/>
      <c r="I81" s="83"/>
      <c r="J81" s="84"/>
      <c r="K81" s="84"/>
      <c r="L81" s="26"/>
      <c r="M81" s="26"/>
      <c r="R81" s="33">
        <f>IF(ROW()&lt;&gt;3,IF(B80&lt;&gt;B81,R80+1,R80),1)</f>
        <v>5</v>
      </c>
      <c r="S81" s="33">
        <f>IF(B80=B81,IF(C80&lt;&gt;C81,S80+1,S80),1)</f>
        <v>1</v>
      </c>
      <c r="T81" s="33">
        <f>IF(B80&lt;&gt;B81,1,IF(C80=C81,T80+1,1))</f>
        <v>6</v>
      </c>
    </row>
    <row r="82" spans="1:20" s="25" customFormat="1" ht="13.5" x14ac:dyDescent="0.15">
      <c r="A82" s="51" t="str">
        <f>IF(B82&lt;&gt;"",表紙!$AB$1&amp;"-"&amp;"結合-"&amp;TEXT($S$1,"00")&amp;"-"&amp;TEXT(R82,"00")&amp;"-"&amp;TEXT(S82,"00")&amp;"-"&amp;TEXT(T82,"０00"),"")</f>
        <v/>
      </c>
      <c r="B82" s="26"/>
      <c r="C82" s="26"/>
      <c r="D82" s="26"/>
      <c r="E82" s="43"/>
      <c r="F82" s="43"/>
      <c r="G82" s="91"/>
      <c r="H82" s="91"/>
      <c r="I82" s="83"/>
      <c r="J82" s="84"/>
      <c r="K82" s="84"/>
      <c r="L82" s="26"/>
      <c r="M82" s="26"/>
      <c r="R82" s="33">
        <f>IF(ROW()&lt;&gt;3,IF(B81&lt;&gt;B82,R81+1,R81),1)</f>
        <v>5</v>
      </c>
      <c r="S82" s="33">
        <f>IF(B81=B82,IF(C81&lt;&gt;C82,S81+1,S81),1)</f>
        <v>1</v>
      </c>
      <c r="T82" s="33">
        <f>IF(B81&lt;&gt;B82,1,IF(C81=C82,T81+1,1))</f>
        <v>7</v>
      </c>
    </row>
    <row r="83" spans="1:20" s="25" customFormat="1" ht="13.5" x14ac:dyDescent="0.15">
      <c r="A83" s="51" t="str">
        <f>IF(B83&lt;&gt;"",表紙!$AB$1&amp;"-"&amp;"結合-"&amp;TEXT($S$1,"00")&amp;"-"&amp;TEXT(R83,"00")&amp;"-"&amp;TEXT(S83,"00")&amp;"-"&amp;TEXT(T83,"０00"),"")</f>
        <v/>
      </c>
      <c r="B83" s="26"/>
      <c r="C83" s="26"/>
      <c r="D83" s="26"/>
      <c r="E83" s="43"/>
      <c r="F83" s="43"/>
      <c r="G83" s="91"/>
      <c r="H83" s="91"/>
      <c r="I83" s="83"/>
      <c r="J83" s="84"/>
      <c r="K83" s="84"/>
      <c r="L83" s="26"/>
      <c r="M83" s="26"/>
      <c r="R83" s="33">
        <f t="shared" ref="R83:R107" si="6">IF(ROW()&lt;&gt;3,IF(B82&lt;&gt;B83,R82+1,R82),1)</f>
        <v>5</v>
      </c>
      <c r="S83" s="33">
        <f t="shared" ref="S83:S107" si="7">IF(B82=B83,IF(C82&lt;&gt;C83,S82+1,S82),1)</f>
        <v>1</v>
      </c>
      <c r="T83" s="33">
        <f t="shared" ref="T83:T107" si="8">IF(B82&lt;&gt;B83,1,IF(C82=C83,T82+1,1))</f>
        <v>8</v>
      </c>
    </row>
    <row r="84" spans="1:20" s="25" customFormat="1" ht="13.5" x14ac:dyDescent="0.15">
      <c r="A84" s="51" t="str">
        <f>IF(B84&lt;&gt;"",表紙!$AB$1&amp;"-"&amp;"結合-"&amp;TEXT($S$1,"00")&amp;"-"&amp;TEXT(R84,"00")&amp;"-"&amp;TEXT(S84,"00")&amp;"-"&amp;TEXT(T84,"０00"),"")</f>
        <v/>
      </c>
      <c r="B84" s="26"/>
      <c r="C84" s="26"/>
      <c r="D84" s="26"/>
      <c r="E84" s="43"/>
      <c r="F84" s="43"/>
      <c r="G84" s="91"/>
      <c r="H84" s="91"/>
      <c r="I84" s="83"/>
      <c r="J84" s="84"/>
      <c r="K84" s="84"/>
      <c r="L84" s="26"/>
      <c r="M84" s="26"/>
      <c r="R84" s="33">
        <f t="shared" si="6"/>
        <v>5</v>
      </c>
      <c r="S84" s="33">
        <f t="shared" si="7"/>
        <v>1</v>
      </c>
      <c r="T84" s="33">
        <f t="shared" si="8"/>
        <v>9</v>
      </c>
    </row>
    <row r="85" spans="1:20" s="25" customFormat="1" ht="13.5" x14ac:dyDescent="0.15">
      <c r="A85" s="51" t="str">
        <f>IF(B85&lt;&gt;"",表紙!$AB$1&amp;"-"&amp;"結合-"&amp;TEXT($S$1,"00")&amp;"-"&amp;TEXT(R85,"00")&amp;"-"&amp;TEXT(S85,"00")&amp;"-"&amp;TEXT(T85,"０00"),"")</f>
        <v/>
      </c>
      <c r="B85" s="26"/>
      <c r="C85" s="26"/>
      <c r="D85" s="26"/>
      <c r="E85" s="43"/>
      <c r="F85" s="43"/>
      <c r="G85" s="91"/>
      <c r="H85" s="91"/>
      <c r="I85" s="83"/>
      <c r="J85" s="84"/>
      <c r="K85" s="84"/>
      <c r="L85" s="26"/>
      <c r="M85" s="26"/>
      <c r="R85" s="33">
        <f t="shared" si="6"/>
        <v>5</v>
      </c>
      <c r="S85" s="33">
        <f t="shared" si="7"/>
        <v>1</v>
      </c>
      <c r="T85" s="33">
        <f t="shared" si="8"/>
        <v>10</v>
      </c>
    </row>
    <row r="86" spans="1:20" s="25" customFormat="1" ht="13.5" x14ac:dyDescent="0.15">
      <c r="A86" s="51" t="str">
        <f>IF(B86&lt;&gt;"",表紙!$AB$1&amp;"-"&amp;"結合-"&amp;TEXT($S$1,"00")&amp;"-"&amp;TEXT(R86,"00")&amp;"-"&amp;TEXT(S86,"00")&amp;"-"&amp;TEXT(T86,"０00"),"")</f>
        <v/>
      </c>
      <c r="B86" s="26"/>
      <c r="C86" s="26"/>
      <c r="D86" s="26"/>
      <c r="E86" s="43"/>
      <c r="F86" s="43"/>
      <c r="G86" s="91"/>
      <c r="H86" s="91"/>
      <c r="I86" s="83"/>
      <c r="J86" s="84"/>
      <c r="K86" s="84"/>
      <c r="L86" s="26"/>
      <c r="M86" s="26"/>
      <c r="R86" s="33">
        <f t="shared" si="6"/>
        <v>5</v>
      </c>
      <c r="S86" s="33">
        <f t="shared" si="7"/>
        <v>1</v>
      </c>
      <c r="T86" s="33">
        <f t="shared" si="8"/>
        <v>11</v>
      </c>
    </row>
    <row r="87" spans="1:20" s="25" customFormat="1" ht="13.5" x14ac:dyDescent="0.15">
      <c r="A87" s="51" t="str">
        <f>IF(B87&lt;&gt;"",表紙!$AB$1&amp;"-"&amp;"結合-"&amp;TEXT($S$1,"00")&amp;"-"&amp;TEXT(R87,"00")&amp;"-"&amp;TEXT(S87,"00")&amp;"-"&amp;TEXT(T87,"０00"),"")</f>
        <v/>
      </c>
      <c r="B87" s="26"/>
      <c r="C87" s="26"/>
      <c r="D87" s="26"/>
      <c r="E87" s="43"/>
      <c r="F87" s="43"/>
      <c r="G87" s="91"/>
      <c r="H87" s="91"/>
      <c r="I87" s="83"/>
      <c r="J87" s="84"/>
      <c r="K87" s="84"/>
      <c r="L87" s="26"/>
      <c r="M87" s="26"/>
      <c r="R87" s="33">
        <f t="shared" si="6"/>
        <v>5</v>
      </c>
      <c r="S87" s="33">
        <f t="shared" si="7"/>
        <v>1</v>
      </c>
      <c r="T87" s="33">
        <f t="shared" si="8"/>
        <v>12</v>
      </c>
    </row>
    <row r="88" spans="1:20" s="25" customFormat="1" ht="13.5" x14ac:dyDescent="0.15">
      <c r="A88" s="51" t="str">
        <f>IF(B88&lt;&gt;"",表紙!$AB$1&amp;"-"&amp;"結合-"&amp;TEXT($S$1,"00")&amp;"-"&amp;TEXT(R88,"00")&amp;"-"&amp;TEXT(S88,"00")&amp;"-"&amp;TEXT(T88,"０00"),"")</f>
        <v/>
      </c>
      <c r="B88" s="26"/>
      <c r="C88" s="26"/>
      <c r="D88" s="26"/>
      <c r="E88" s="43"/>
      <c r="F88" s="43"/>
      <c r="G88" s="91"/>
      <c r="H88" s="91"/>
      <c r="I88" s="27"/>
      <c r="J88" s="28"/>
      <c r="K88" s="28"/>
      <c r="L88" s="26"/>
      <c r="M88" s="26"/>
      <c r="R88" s="33">
        <f t="shared" si="6"/>
        <v>5</v>
      </c>
      <c r="S88" s="33">
        <f t="shared" si="7"/>
        <v>1</v>
      </c>
      <c r="T88" s="33">
        <f t="shared" si="8"/>
        <v>13</v>
      </c>
    </row>
    <row r="89" spans="1:20" s="25" customFormat="1" ht="13.5" x14ac:dyDescent="0.15">
      <c r="A89" s="51" t="str">
        <f>IF(B89&lt;&gt;"",表紙!$AB$1&amp;"-"&amp;"結合-"&amp;TEXT($S$1,"00")&amp;"-"&amp;TEXT(R89,"00")&amp;"-"&amp;TEXT(S89,"00")&amp;"-"&amp;TEXT(T89,"０00"),"")</f>
        <v/>
      </c>
      <c r="B89" s="26"/>
      <c r="C89" s="26"/>
      <c r="D89" s="26"/>
      <c r="E89" s="43"/>
      <c r="F89" s="43"/>
      <c r="G89" s="91"/>
      <c r="H89" s="91"/>
      <c r="I89" s="83"/>
      <c r="J89" s="84"/>
      <c r="K89" s="84"/>
      <c r="L89" s="26"/>
      <c r="M89" s="26"/>
      <c r="R89" s="33">
        <f t="shared" si="6"/>
        <v>5</v>
      </c>
      <c r="S89" s="33">
        <f t="shared" si="7"/>
        <v>1</v>
      </c>
      <c r="T89" s="33">
        <f t="shared" si="8"/>
        <v>14</v>
      </c>
    </row>
    <row r="90" spans="1:20" s="25" customFormat="1" ht="13.5" x14ac:dyDescent="0.15">
      <c r="A90" s="51" t="str">
        <f>IF(B90&lt;&gt;"",表紙!$AB$1&amp;"-"&amp;"結合-"&amp;TEXT($S$1,"00")&amp;"-"&amp;TEXT(R90,"00")&amp;"-"&amp;TEXT(S90,"00")&amp;"-"&amp;TEXT(T90,"０00"),"")</f>
        <v/>
      </c>
      <c r="B90" s="26"/>
      <c r="C90" s="26"/>
      <c r="D90" s="26"/>
      <c r="E90" s="43"/>
      <c r="F90" s="43"/>
      <c r="G90" s="91"/>
      <c r="H90" s="91"/>
      <c r="I90" s="27"/>
      <c r="J90" s="28"/>
      <c r="K90" s="84"/>
      <c r="L90" s="26"/>
      <c r="M90" s="26"/>
      <c r="R90" s="33">
        <f t="shared" si="6"/>
        <v>5</v>
      </c>
      <c r="S90" s="33">
        <f t="shared" si="7"/>
        <v>1</v>
      </c>
      <c r="T90" s="33">
        <f t="shared" si="8"/>
        <v>15</v>
      </c>
    </row>
    <row r="91" spans="1:20" s="25" customFormat="1" ht="13.5" x14ac:dyDescent="0.15">
      <c r="A91" s="51" t="str">
        <f>IF(B91&lt;&gt;"",表紙!$AB$1&amp;"-"&amp;"結合-"&amp;TEXT($S$1,"00")&amp;"-"&amp;TEXT(R91,"00")&amp;"-"&amp;TEXT(S91,"00")&amp;"-"&amp;TEXT(T91,"０00"),"")</f>
        <v/>
      </c>
      <c r="B91" s="26"/>
      <c r="C91" s="26"/>
      <c r="D91" s="26"/>
      <c r="E91" s="43"/>
      <c r="F91" s="43"/>
      <c r="G91" s="91"/>
      <c r="H91" s="91"/>
      <c r="I91" s="27"/>
      <c r="J91" s="28"/>
      <c r="K91" s="28"/>
      <c r="L91" s="26"/>
      <c r="M91" s="26"/>
      <c r="R91" s="33">
        <f t="shared" si="6"/>
        <v>5</v>
      </c>
      <c r="S91" s="33">
        <f t="shared" si="7"/>
        <v>1</v>
      </c>
      <c r="T91" s="33">
        <f t="shared" si="8"/>
        <v>16</v>
      </c>
    </row>
    <row r="92" spans="1:20" s="25" customFormat="1" ht="13.5" x14ac:dyDescent="0.15">
      <c r="A92" s="51" t="str">
        <f>IF(B92&lt;&gt;"",表紙!$AB$1&amp;"-"&amp;"結合-"&amp;TEXT($S$1,"00")&amp;"-"&amp;TEXT(R92,"00")&amp;"-"&amp;TEXT(S92,"00")&amp;"-"&amp;TEXT(T92,"０00"),"")</f>
        <v/>
      </c>
      <c r="B92" s="26"/>
      <c r="C92" s="26"/>
      <c r="D92" s="26"/>
      <c r="E92" s="43"/>
      <c r="F92" s="43"/>
      <c r="G92" s="91"/>
      <c r="H92" s="91"/>
      <c r="I92" s="27"/>
      <c r="J92" s="28"/>
      <c r="K92" s="28"/>
      <c r="L92" s="26"/>
      <c r="M92" s="26"/>
      <c r="R92" s="33">
        <f t="shared" si="6"/>
        <v>5</v>
      </c>
      <c r="S92" s="33">
        <f t="shared" si="7"/>
        <v>1</v>
      </c>
      <c r="T92" s="33">
        <f t="shared" si="8"/>
        <v>17</v>
      </c>
    </row>
    <row r="93" spans="1:20" s="25" customFormat="1" ht="13.5" x14ac:dyDescent="0.15">
      <c r="A93" s="51" t="str">
        <f>IF(B93&lt;&gt;"",表紙!$AB$1&amp;"-"&amp;"結合-"&amp;TEXT($S$1,"00")&amp;"-"&amp;TEXT(R93,"00")&amp;"-"&amp;TEXT(S93,"00")&amp;"-"&amp;TEXT(T93,"０00"),"")</f>
        <v/>
      </c>
      <c r="B93" s="26"/>
      <c r="C93" s="26"/>
      <c r="D93" s="26"/>
      <c r="E93" s="43"/>
      <c r="F93" s="43"/>
      <c r="G93" s="91"/>
      <c r="H93" s="91"/>
      <c r="I93" s="27"/>
      <c r="J93" s="28"/>
      <c r="K93" s="28"/>
      <c r="L93" s="26"/>
      <c r="M93" s="26"/>
      <c r="R93" s="33">
        <f t="shared" si="6"/>
        <v>5</v>
      </c>
      <c r="S93" s="33">
        <f t="shared" si="7"/>
        <v>1</v>
      </c>
      <c r="T93" s="33">
        <f t="shared" si="8"/>
        <v>18</v>
      </c>
    </row>
    <row r="94" spans="1:20" s="25" customFormat="1" ht="13.5" x14ac:dyDescent="0.15">
      <c r="A94" s="51" t="str">
        <f>IF(B94&lt;&gt;"",表紙!$AB$1&amp;"-"&amp;"結合-"&amp;TEXT($S$1,"00")&amp;"-"&amp;TEXT(R94,"00")&amp;"-"&amp;TEXT(S94,"00")&amp;"-"&amp;TEXT(T94,"０00"),"")</f>
        <v/>
      </c>
      <c r="B94" s="26"/>
      <c r="C94" s="26"/>
      <c r="D94" s="26"/>
      <c r="E94" s="43"/>
      <c r="F94" s="43"/>
      <c r="G94" s="34"/>
      <c r="H94" s="34"/>
      <c r="I94" s="27"/>
      <c r="J94" s="28"/>
      <c r="K94" s="28"/>
      <c r="L94" s="26"/>
      <c r="M94" s="26"/>
      <c r="R94" s="33">
        <f t="shared" si="6"/>
        <v>5</v>
      </c>
      <c r="S94" s="33">
        <f t="shared" si="7"/>
        <v>1</v>
      </c>
      <c r="T94" s="33">
        <f t="shared" si="8"/>
        <v>19</v>
      </c>
    </row>
    <row r="95" spans="1:20" s="25" customFormat="1" ht="13.5" x14ac:dyDescent="0.15">
      <c r="A95" s="51" t="str">
        <f>IF(B95&lt;&gt;"",表紙!$AB$1&amp;"-"&amp;"結合-"&amp;TEXT($S$1,"00")&amp;"-"&amp;TEXT(R95,"00")&amp;"-"&amp;TEXT(S95,"00")&amp;"-"&amp;TEXT(T95,"０00"),"")</f>
        <v/>
      </c>
      <c r="B95" s="26"/>
      <c r="C95" s="26"/>
      <c r="D95" s="26"/>
      <c r="E95" s="43"/>
      <c r="F95" s="43"/>
      <c r="G95" s="34"/>
      <c r="H95" s="34"/>
      <c r="I95" s="27"/>
      <c r="J95" s="28"/>
      <c r="K95" s="28"/>
      <c r="L95" s="26"/>
      <c r="M95" s="26"/>
      <c r="R95" s="33">
        <f t="shared" si="6"/>
        <v>5</v>
      </c>
      <c r="S95" s="33">
        <f t="shared" si="7"/>
        <v>1</v>
      </c>
      <c r="T95" s="33">
        <f t="shared" si="8"/>
        <v>20</v>
      </c>
    </row>
    <row r="96" spans="1:20" s="25" customFormat="1" ht="13.5" x14ac:dyDescent="0.15">
      <c r="A96" s="51" t="str">
        <f>IF(B96&lt;&gt;"",表紙!$AB$1&amp;"-"&amp;"結合-"&amp;TEXT($S$1,"00")&amp;"-"&amp;TEXT(R96,"00")&amp;"-"&amp;TEXT(S96,"00")&amp;"-"&amp;TEXT(T96,"０00"),"")</f>
        <v/>
      </c>
      <c r="B96" s="26"/>
      <c r="C96" s="26"/>
      <c r="D96" s="26"/>
      <c r="E96" s="43"/>
      <c r="F96" s="43"/>
      <c r="G96" s="34"/>
      <c r="H96" s="34"/>
      <c r="I96" s="27"/>
      <c r="J96" s="28"/>
      <c r="K96" s="28"/>
      <c r="L96" s="26"/>
      <c r="M96" s="26"/>
      <c r="R96" s="33">
        <f t="shared" si="6"/>
        <v>5</v>
      </c>
      <c r="S96" s="33">
        <f t="shared" si="7"/>
        <v>1</v>
      </c>
      <c r="T96" s="33">
        <f t="shared" si="8"/>
        <v>21</v>
      </c>
    </row>
    <row r="97" spans="1:20" s="25" customFormat="1" ht="13.5" x14ac:dyDescent="0.15">
      <c r="A97" s="51" t="str">
        <f>IF(B97&lt;&gt;"",表紙!$AB$1&amp;"-"&amp;"結合-"&amp;TEXT($S$1,"00")&amp;"-"&amp;TEXT(R97,"00")&amp;"-"&amp;TEXT(S97,"00")&amp;"-"&amp;TEXT(T97,"０00"),"")</f>
        <v/>
      </c>
      <c r="B97" s="26"/>
      <c r="C97" s="26"/>
      <c r="D97" s="26"/>
      <c r="E97" s="43"/>
      <c r="F97" s="43"/>
      <c r="G97" s="34"/>
      <c r="H97" s="34"/>
      <c r="I97" s="27"/>
      <c r="J97" s="28"/>
      <c r="K97" s="28"/>
      <c r="L97" s="26"/>
      <c r="M97" s="26"/>
      <c r="R97" s="33">
        <f t="shared" si="6"/>
        <v>5</v>
      </c>
      <c r="S97" s="33">
        <f t="shared" si="7"/>
        <v>1</v>
      </c>
      <c r="T97" s="33">
        <f t="shared" si="8"/>
        <v>22</v>
      </c>
    </row>
    <row r="98" spans="1:20" s="25" customFormat="1" ht="13.5" x14ac:dyDescent="0.15">
      <c r="A98" s="51" t="str">
        <f>IF(B98&lt;&gt;"",表紙!$AB$1&amp;"-"&amp;"結合-"&amp;TEXT($S$1,"00")&amp;"-"&amp;TEXT(R98,"00")&amp;"-"&amp;TEXT(S98,"00")&amp;"-"&amp;TEXT(T98,"０00"),"")</f>
        <v/>
      </c>
      <c r="B98" s="26"/>
      <c r="C98" s="26"/>
      <c r="D98" s="26"/>
      <c r="E98" s="43"/>
      <c r="F98" s="43"/>
      <c r="G98" s="34"/>
      <c r="H98" s="34"/>
      <c r="I98" s="27"/>
      <c r="J98" s="28"/>
      <c r="K98" s="28"/>
      <c r="L98" s="26"/>
      <c r="M98" s="26"/>
      <c r="R98" s="33">
        <f t="shared" si="6"/>
        <v>5</v>
      </c>
      <c r="S98" s="33">
        <f t="shared" si="7"/>
        <v>1</v>
      </c>
      <c r="T98" s="33">
        <f t="shared" si="8"/>
        <v>23</v>
      </c>
    </row>
    <row r="99" spans="1:20" s="25" customFormat="1" ht="13.5" x14ac:dyDescent="0.15">
      <c r="A99" s="51" t="str">
        <f>IF(B99&lt;&gt;"",表紙!$AB$1&amp;"-"&amp;"結合-"&amp;TEXT($S$1,"00")&amp;"-"&amp;TEXT(R99,"00")&amp;"-"&amp;TEXT(S99,"00")&amp;"-"&amp;TEXT(T99,"０00"),"")</f>
        <v/>
      </c>
      <c r="B99" s="26"/>
      <c r="C99" s="26"/>
      <c r="D99" s="26"/>
      <c r="E99" s="43"/>
      <c r="F99" s="43"/>
      <c r="G99" s="34"/>
      <c r="H99" s="34"/>
      <c r="I99" s="27"/>
      <c r="J99" s="28"/>
      <c r="K99" s="28"/>
      <c r="L99" s="26"/>
      <c r="M99" s="26"/>
      <c r="R99" s="33">
        <f t="shared" si="6"/>
        <v>5</v>
      </c>
      <c r="S99" s="33">
        <f t="shared" si="7"/>
        <v>1</v>
      </c>
      <c r="T99" s="33">
        <f t="shared" si="8"/>
        <v>24</v>
      </c>
    </row>
    <row r="100" spans="1:20" s="25" customFormat="1" ht="13.5" x14ac:dyDescent="0.15">
      <c r="A100" s="51" t="str">
        <f>IF(B100&lt;&gt;"",表紙!$AB$1&amp;"-"&amp;"結合-"&amp;TEXT($S$1,"00")&amp;"-"&amp;TEXT(R100,"00")&amp;"-"&amp;TEXT(S100,"00")&amp;"-"&amp;TEXT(T100,"０00"),"")</f>
        <v/>
      </c>
      <c r="B100" s="26"/>
      <c r="C100" s="26"/>
      <c r="D100" s="26"/>
      <c r="E100" s="43"/>
      <c r="F100" s="43"/>
      <c r="G100" s="34"/>
      <c r="H100" s="34"/>
      <c r="I100" s="27"/>
      <c r="J100" s="28"/>
      <c r="K100" s="28"/>
      <c r="L100" s="26"/>
      <c r="M100" s="26"/>
      <c r="R100" s="33">
        <f t="shared" si="6"/>
        <v>5</v>
      </c>
      <c r="S100" s="33">
        <f t="shared" si="7"/>
        <v>1</v>
      </c>
      <c r="T100" s="33">
        <f t="shared" si="8"/>
        <v>25</v>
      </c>
    </row>
    <row r="101" spans="1:20" s="25" customFormat="1" ht="13.5" x14ac:dyDescent="0.15">
      <c r="A101" s="51" t="str">
        <f>IF(B101&lt;&gt;"",表紙!$AB$1&amp;"-"&amp;"結合-"&amp;TEXT($S$1,"00")&amp;"-"&amp;TEXT(R101,"00")&amp;"-"&amp;TEXT(S101,"00")&amp;"-"&amp;TEXT(T101,"０00"),"")</f>
        <v/>
      </c>
      <c r="B101" s="26"/>
      <c r="C101" s="26"/>
      <c r="D101" s="26"/>
      <c r="E101" s="43"/>
      <c r="F101" s="43"/>
      <c r="G101" s="34"/>
      <c r="H101" s="34"/>
      <c r="I101" s="27"/>
      <c r="J101" s="28"/>
      <c r="K101" s="28"/>
      <c r="L101" s="26"/>
      <c r="M101" s="26"/>
      <c r="R101" s="33">
        <f t="shared" si="6"/>
        <v>5</v>
      </c>
      <c r="S101" s="33">
        <f t="shared" si="7"/>
        <v>1</v>
      </c>
      <c r="T101" s="33">
        <f t="shared" si="8"/>
        <v>26</v>
      </c>
    </row>
    <row r="102" spans="1:20" s="25" customFormat="1" ht="13.5" x14ac:dyDescent="0.15">
      <c r="A102" s="51" t="str">
        <f>IF(B102&lt;&gt;"",表紙!$AB$1&amp;"-"&amp;"結合-"&amp;TEXT($S$1,"00")&amp;"-"&amp;TEXT(R102,"00")&amp;"-"&amp;TEXT(S102,"00")&amp;"-"&amp;TEXT(T102,"０00"),"")</f>
        <v/>
      </c>
      <c r="B102" s="26"/>
      <c r="C102" s="26"/>
      <c r="D102" s="26"/>
      <c r="E102" s="43"/>
      <c r="F102" s="43"/>
      <c r="G102" s="34"/>
      <c r="H102" s="34"/>
      <c r="I102" s="27"/>
      <c r="J102" s="28"/>
      <c r="K102" s="28"/>
      <c r="L102" s="26"/>
      <c r="M102" s="26"/>
      <c r="R102" s="33">
        <f t="shared" si="6"/>
        <v>5</v>
      </c>
      <c r="S102" s="33">
        <f t="shared" si="7"/>
        <v>1</v>
      </c>
      <c r="T102" s="33">
        <f t="shared" si="8"/>
        <v>27</v>
      </c>
    </row>
    <row r="103" spans="1:20" s="25" customFormat="1" ht="13.5" x14ac:dyDescent="0.15">
      <c r="A103" s="51" t="str">
        <f>IF(B103&lt;&gt;"",表紙!$AB$1&amp;"-"&amp;"結合-"&amp;TEXT($S$1,"00")&amp;"-"&amp;TEXT(R103,"00")&amp;"-"&amp;TEXT(S103,"00")&amp;"-"&amp;TEXT(T103,"０00"),"")</f>
        <v/>
      </c>
      <c r="B103" s="26"/>
      <c r="C103" s="26"/>
      <c r="D103" s="26"/>
      <c r="E103" s="43"/>
      <c r="F103" s="43"/>
      <c r="G103" s="34"/>
      <c r="H103" s="34"/>
      <c r="I103" s="27"/>
      <c r="J103" s="28"/>
      <c r="K103" s="28"/>
      <c r="L103" s="26"/>
      <c r="M103" s="26"/>
      <c r="R103" s="33">
        <f t="shared" si="6"/>
        <v>5</v>
      </c>
      <c r="S103" s="33">
        <f t="shared" si="7"/>
        <v>1</v>
      </c>
      <c r="T103" s="33">
        <f t="shared" si="8"/>
        <v>28</v>
      </c>
    </row>
    <row r="104" spans="1:20" s="25" customFormat="1" ht="13.5" x14ac:dyDescent="0.15">
      <c r="A104" s="51" t="str">
        <f>IF(B104&lt;&gt;"",表紙!$AB$1&amp;"-"&amp;"結合-"&amp;TEXT($S$1,"00")&amp;"-"&amp;TEXT(R104,"00")&amp;"-"&amp;TEXT(S104,"00")&amp;"-"&amp;TEXT(T104,"０00"),"")</f>
        <v/>
      </c>
      <c r="B104" s="26"/>
      <c r="C104" s="26"/>
      <c r="D104" s="26"/>
      <c r="E104" s="43"/>
      <c r="F104" s="43"/>
      <c r="G104" s="34"/>
      <c r="H104" s="34"/>
      <c r="I104" s="27"/>
      <c r="J104" s="28"/>
      <c r="K104" s="28"/>
      <c r="L104" s="26"/>
      <c r="M104" s="26"/>
      <c r="R104" s="33">
        <f t="shared" si="6"/>
        <v>5</v>
      </c>
      <c r="S104" s="33">
        <f t="shared" si="7"/>
        <v>1</v>
      </c>
      <c r="T104" s="33">
        <f t="shared" si="8"/>
        <v>29</v>
      </c>
    </row>
    <row r="105" spans="1:20" s="25" customFormat="1" ht="13.5" x14ac:dyDescent="0.15">
      <c r="A105" s="51" t="str">
        <f>IF(B105&lt;&gt;"",表紙!$AB$1&amp;"-"&amp;"結合-"&amp;TEXT($S$1,"00")&amp;"-"&amp;TEXT(R105,"00")&amp;"-"&amp;TEXT(S105,"00")&amp;"-"&amp;TEXT(T105,"０00"),"")</f>
        <v/>
      </c>
      <c r="B105" s="26"/>
      <c r="C105" s="26"/>
      <c r="D105" s="26"/>
      <c r="E105" s="43"/>
      <c r="F105" s="43"/>
      <c r="G105" s="34"/>
      <c r="H105" s="34"/>
      <c r="I105" s="27"/>
      <c r="J105" s="28"/>
      <c r="K105" s="28"/>
      <c r="L105" s="26"/>
      <c r="M105" s="26"/>
      <c r="R105" s="33">
        <f t="shared" si="6"/>
        <v>5</v>
      </c>
      <c r="S105" s="33">
        <f t="shared" si="7"/>
        <v>1</v>
      </c>
      <c r="T105" s="33">
        <f t="shared" si="8"/>
        <v>30</v>
      </c>
    </row>
    <row r="106" spans="1:20" s="25" customFormat="1" ht="13.5" x14ac:dyDescent="0.15">
      <c r="A106" s="51" t="str">
        <f>IF(B106&lt;&gt;"",表紙!$AB$1&amp;"-"&amp;"結合-"&amp;TEXT($S$1,"00")&amp;"-"&amp;TEXT(R106,"00")&amp;"-"&amp;TEXT(S106,"00")&amp;"-"&amp;TEXT(T106,"０00"),"")</f>
        <v/>
      </c>
      <c r="B106" s="26"/>
      <c r="C106" s="26"/>
      <c r="D106" s="26"/>
      <c r="E106" s="43"/>
      <c r="F106" s="43"/>
      <c r="G106" s="34"/>
      <c r="H106" s="34"/>
      <c r="I106" s="27"/>
      <c r="J106" s="28"/>
      <c r="K106" s="28"/>
      <c r="L106" s="26"/>
      <c r="M106" s="26"/>
      <c r="R106" s="33">
        <f t="shared" si="6"/>
        <v>5</v>
      </c>
      <c r="S106" s="33">
        <f t="shared" si="7"/>
        <v>1</v>
      </c>
      <c r="T106" s="33">
        <f t="shared" si="8"/>
        <v>31</v>
      </c>
    </row>
    <row r="107" spans="1:20" s="25" customFormat="1" ht="13.5" x14ac:dyDescent="0.15">
      <c r="A107" s="51" t="str">
        <f>IF(B107&lt;&gt;"",表紙!$AB$1&amp;"-"&amp;"結合-"&amp;TEXT($S$1,"00")&amp;"-"&amp;TEXT(R107,"00")&amp;"-"&amp;TEXT(S107,"00")&amp;"-"&amp;TEXT(T107,"０00"),"")</f>
        <v/>
      </c>
      <c r="B107" s="26"/>
      <c r="C107" s="26"/>
      <c r="D107" s="26"/>
      <c r="E107" s="43"/>
      <c r="F107" s="43"/>
      <c r="G107" s="34"/>
      <c r="H107" s="34"/>
      <c r="I107" s="27"/>
      <c r="J107" s="28"/>
      <c r="K107" s="28"/>
      <c r="L107" s="26"/>
      <c r="M107" s="26"/>
      <c r="R107" s="33">
        <f t="shared" si="6"/>
        <v>5</v>
      </c>
      <c r="S107" s="33">
        <f t="shared" si="7"/>
        <v>1</v>
      </c>
      <c r="T107" s="33">
        <f t="shared" si="8"/>
        <v>32</v>
      </c>
    </row>
    <row r="110" spans="1:20" x14ac:dyDescent="0.15">
      <c r="I110" s="19"/>
      <c r="J110" s="19"/>
      <c r="K110" s="19"/>
      <c r="L110" s="20"/>
      <c r="M110" s="20"/>
    </row>
    <row r="111" spans="1:20" x14ac:dyDescent="0.15">
      <c r="E111" s="19" t="s">
        <v>35</v>
      </c>
      <c r="F111" s="19">
        <f>COUNTIF($F$3:$F$107,E111)</f>
        <v>0</v>
      </c>
      <c r="I111" s="19"/>
      <c r="J111" s="19"/>
      <c r="K111" s="19"/>
      <c r="L111" s="20"/>
      <c r="M111" s="20"/>
    </row>
    <row r="112" spans="1:20" x14ac:dyDescent="0.15">
      <c r="E112" s="19" t="s">
        <v>36</v>
      </c>
      <c r="F112" s="19">
        <f>COUNTIF($F$3:$F$107,E112)</f>
        <v>0</v>
      </c>
      <c r="I112" s="19"/>
      <c r="J112" s="19"/>
      <c r="K112" s="19"/>
      <c r="L112" s="20"/>
      <c r="M112" s="20"/>
    </row>
    <row r="113" spans="5:6" x14ac:dyDescent="0.15">
      <c r="E113" s="19" t="s">
        <v>37</v>
      </c>
      <c r="F113" s="19">
        <f>COUNTIF($F$3:$F$107,E113)</f>
        <v>0</v>
      </c>
    </row>
  </sheetData>
  <autoFilter ref="A2:M107" xr:uid="{00000000-0001-0000-0300-000000000000}"/>
  <phoneticPr fontId="3"/>
  <conditionalFormatting sqref="R3:T107">
    <cfRule type="expression" dxfId="2" priority="72" stopIfTrue="1">
      <formula>IF(#REF!="○",TRUE,FALSE)</formula>
    </cfRule>
  </conditionalFormatting>
  <conditionalFormatting sqref="E3:E107">
    <cfRule type="expression" dxfId="1" priority="63">
      <formula>$M3&lt;&gt;""</formula>
    </cfRule>
  </conditionalFormatting>
  <conditionalFormatting sqref="A3:M102">
    <cfRule type="expression" dxfId="0" priority="49">
      <formula>$M3&lt;&gt;""</formula>
    </cfRule>
  </conditionalFormatting>
  <dataValidations count="2">
    <dataValidation type="list" allowBlank="1" showInputMessage="1" showErrorMessage="1" sqref="E3:E107" xr:uid="{734A6667-EDD6-4F75-90E2-F23A6D7D2932}">
      <formula1>"正常,準正常,異常"</formula1>
    </dataValidation>
    <dataValidation type="list" allowBlank="1" showInputMessage="1" showErrorMessage="1" sqref="F3:F107" xr:uid="{4AAE7993-4B14-4230-B7C9-7F65F3354B67}">
      <formula1>"A,B,C"</formula1>
    </dataValidation>
  </dataValidations>
  <printOptions horizontalCentered="1"/>
  <pageMargins left="0.39370078740157483" right="0.39370078740157483" top="0.39370078740157483" bottom="0.39370078740157483" header="0" footer="0"/>
  <pageSetup paperSize="9" scale="59" fitToHeight="25" orientation="landscape" r:id="rId1"/>
  <headerFooter alignWithMargins="0"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76D4-9922-49EF-9110-27929F13E9D8}">
  <dimension ref="A1:T31"/>
  <sheetViews>
    <sheetView showGridLines="0" zoomScale="90" zoomScaleNormal="90" workbookViewId="0"/>
  </sheetViews>
  <sheetFormatPr defaultRowHeight="13.5" x14ac:dyDescent="0.15"/>
  <cols>
    <col min="1" max="1" width="2.625" customWidth="1"/>
    <col min="2" max="2" width="2.75" customWidth="1"/>
    <col min="4" max="4" width="28.625" customWidth="1"/>
    <col min="5" max="5" width="30.625" customWidth="1"/>
    <col min="6" max="8" width="20.625" customWidth="1"/>
    <col min="9" max="14" width="6.625" customWidth="1"/>
    <col min="15" max="18" width="15.625" customWidth="1"/>
    <col min="20" max="20" width="11.75" customWidth="1"/>
  </cols>
  <sheetData>
    <row r="1" spans="1:20" x14ac:dyDescent="0.15">
      <c r="A1" s="79" t="s">
        <v>109</v>
      </c>
    </row>
    <row r="2" spans="1:20" x14ac:dyDescent="0.15">
      <c r="A2" s="79"/>
      <c r="B2" t="s">
        <v>146</v>
      </c>
    </row>
    <row r="3" spans="1:20" x14ac:dyDescent="0.15">
      <c r="A3" s="79"/>
    </row>
    <row r="4" spans="1:20" x14ac:dyDescent="0.15">
      <c r="A4" s="79"/>
      <c r="B4" s="80" t="s">
        <v>67</v>
      </c>
    </row>
    <row r="5" spans="1:20" x14ac:dyDescent="0.15">
      <c r="C5" t="s">
        <v>170</v>
      </c>
    </row>
    <row r="6" spans="1:20" x14ac:dyDescent="0.15">
      <c r="C6" t="s">
        <v>171</v>
      </c>
    </row>
    <row r="7" spans="1:20" x14ac:dyDescent="0.15">
      <c r="C7" s="73"/>
      <c r="D7" s="73"/>
      <c r="E7" s="73"/>
    </row>
    <row r="8" spans="1:20" x14ac:dyDescent="0.15">
      <c r="C8" s="75" t="s">
        <v>42</v>
      </c>
      <c r="D8" s="76" t="s">
        <v>163</v>
      </c>
      <c r="E8" s="76" t="s">
        <v>110</v>
      </c>
      <c r="F8" s="76" t="s">
        <v>64</v>
      </c>
      <c r="G8" s="78"/>
      <c r="H8" s="77"/>
      <c r="I8" s="76" t="s">
        <v>65</v>
      </c>
      <c r="J8" s="78"/>
      <c r="K8" s="77"/>
      <c r="L8" s="76" t="s">
        <v>308</v>
      </c>
      <c r="M8" s="78"/>
      <c r="N8" s="77"/>
      <c r="O8" s="78" t="s">
        <v>66</v>
      </c>
      <c r="P8" s="78"/>
      <c r="Q8" s="78"/>
      <c r="R8" s="77"/>
    </row>
    <row r="9" spans="1:20" ht="219.95" customHeight="1" x14ac:dyDescent="0.15">
      <c r="C9" s="71">
        <v>1</v>
      </c>
      <c r="D9" s="115" t="s">
        <v>164</v>
      </c>
      <c r="E9" s="74" t="s">
        <v>150</v>
      </c>
      <c r="F9" s="124" t="s">
        <v>147</v>
      </c>
      <c r="G9" s="125"/>
      <c r="H9" s="126"/>
      <c r="I9" s="85">
        <v>20</v>
      </c>
      <c r="J9" s="86"/>
      <c r="K9" s="87"/>
      <c r="L9" s="85">
        <v>20</v>
      </c>
      <c r="M9" s="72"/>
      <c r="N9" s="70"/>
      <c r="O9" s="124" t="s">
        <v>159</v>
      </c>
      <c r="P9" s="125"/>
      <c r="Q9" s="125"/>
      <c r="R9" s="126"/>
      <c r="T9" s="81"/>
    </row>
    <row r="10" spans="1:20" ht="60" customHeight="1" x14ac:dyDescent="0.15">
      <c r="C10" s="71">
        <v>2</v>
      </c>
      <c r="D10" s="116"/>
      <c r="E10" s="74" t="s">
        <v>149</v>
      </c>
      <c r="F10" s="124" t="s">
        <v>160</v>
      </c>
      <c r="G10" s="125"/>
      <c r="H10" s="126"/>
      <c r="I10" s="85">
        <v>20</v>
      </c>
      <c r="J10" s="72"/>
      <c r="K10" s="70"/>
      <c r="L10" s="85">
        <v>22</v>
      </c>
      <c r="M10" s="72"/>
      <c r="N10" s="70"/>
      <c r="O10" s="124" t="s">
        <v>309</v>
      </c>
      <c r="P10" s="125"/>
      <c r="Q10" s="125"/>
      <c r="R10" s="126"/>
      <c r="T10" s="81"/>
    </row>
    <row r="11" spans="1:20" ht="42" customHeight="1" x14ac:dyDescent="0.15">
      <c r="C11" s="71">
        <v>3</v>
      </c>
      <c r="D11" s="116"/>
      <c r="E11" s="74" t="s">
        <v>151</v>
      </c>
      <c r="F11" s="124" t="s">
        <v>161</v>
      </c>
      <c r="G11" s="125"/>
      <c r="H11" s="126"/>
      <c r="I11" s="85">
        <v>22</v>
      </c>
      <c r="J11" s="72"/>
      <c r="K11" s="70"/>
      <c r="L11" s="85">
        <v>20</v>
      </c>
      <c r="M11" s="72"/>
      <c r="N11" s="70"/>
      <c r="O11" s="124" t="s">
        <v>310</v>
      </c>
      <c r="P11" s="125"/>
      <c r="Q11" s="125"/>
      <c r="R11" s="126"/>
      <c r="T11" s="81"/>
    </row>
    <row r="12" spans="1:20" ht="42" customHeight="1" x14ac:dyDescent="0.15">
      <c r="C12" s="71">
        <v>4</v>
      </c>
      <c r="D12" s="117"/>
      <c r="E12" s="74" t="s">
        <v>83</v>
      </c>
      <c r="F12" s="124" t="s">
        <v>162</v>
      </c>
      <c r="G12" s="125"/>
      <c r="H12" s="126"/>
      <c r="I12" s="85">
        <v>22</v>
      </c>
      <c r="J12" s="72"/>
      <c r="K12" s="70"/>
      <c r="L12" s="85">
        <v>22</v>
      </c>
      <c r="M12" s="72"/>
      <c r="N12" s="70"/>
      <c r="O12" s="124" t="s">
        <v>311</v>
      </c>
      <c r="P12" s="125"/>
      <c r="Q12" s="125"/>
      <c r="R12" s="126"/>
      <c r="T12" s="81"/>
    </row>
    <row r="13" spans="1:20" ht="60" customHeight="1" x14ac:dyDescent="0.15">
      <c r="C13" s="71">
        <v>5</v>
      </c>
      <c r="D13" s="115" t="s">
        <v>165</v>
      </c>
      <c r="E13" s="74" t="s">
        <v>152</v>
      </c>
      <c r="F13" s="124" t="s">
        <v>166</v>
      </c>
      <c r="G13" s="125"/>
      <c r="H13" s="126"/>
      <c r="I13" s="85">
        <v>22</v>
      </c>
      <c r="J13" s="72"/>
      <c r="K13" s="70"/>
      <c r="L13" s="85">
        <v>20</v>
      </c>
      <c r="M13" s="72"/>
      <c r="N13" s="70"/>
      <c r="O13" s="124" t="s">
        <v>167</v>
      </c>
      <c r="P13" s="125"/>
      <c r="Q13" s="125"/>
      <c r="R13" s="126"/>
      <c r="T13" s="81"/>
    </row>
    <row r="14" spans="1:20" ht="42" customHeight="1" x14ac:dyDescent="0.15">
      <c r="C14" s="71">
        <v>6</v>
      </c>
      <c r="D14" s="116"/>
      <c r="E14" s="74" t="s">
        <v>148</v>
      </c>
      <c r="F14" s="124" t="s">
        <v>166</v>
      </c>
      <c r="G14" s="125"/>
      <c r="H14" s="126"/>
      <c r="I14" s="85">
        <v>22</v>
      </c>
      <c r="J14" s="72"/>
      <c r="K14" s="70"/>
      <c r="L14" s="85">
        <v>22</v>
      </c>
      <c r="M14" s="72"/>
      <c r="N14" s="70"/>
      <c r="O14" s="124" t="s">
        <v>167</v>
      </c>
      <c r="P14" s="125"/>
      <c r="Q14" s="125"/>
      <c r="R14" s="126"/>
      <c r="T14" s="81"/>
    </row>
    <row r="15" spans="1:20" ht="42" customHeight="1" x14ac:dyDescent="0.15">
      <c r="C15" s="71">
        <v>7</v>
      </c>
      <c r="D15" s="116"/>
      <c r="E15" s="74" t="s">
        <v>154</v>
      </c>
      <c r="F15" s="124" t="s">
        <v>166</v>
      </c>
      <c r="G15" s="125"/>
      <c r="H15" s="126"/>
      <c r="I15" s="85">
        <v>22</v>
      </c>
      <c r="J15" s="72"/>
      <c r="K15" s="70"/>
      <c r="L15" s="85">
        <v>23</v>
      </c>
      <c r="M15" s="72"/>
      <c r="N15" s="70"/>
      <c r="O15" s="124" t="s">
        <v>167</v>
      </c>
      <c r="P15" s="125"/>
      <c r="Q15" s="125"/>
      <c r="R15" s="126"/>
      <c r="T15" s="81"/>
    </row>
    <row r="16" spans="1:20" ht="42" customHeight="1" x14ac:dyDescent="0.15">
      <c r="C16" s="71">
        <v>8</v>
      </c>
      <c r="D16" s="116"/>
      <c r="E16" s="74" t="s">
        <v>156</v>
      </c>
      <c r="F16" s="124" t="s">
        <v>166</v>
      </c>
      <c r="G16" s="125"/>
      <c r="H16" s="126"/>
      <c r="I16" s="85">
        <v>20</v>
      </c>
      <c r="J16" s="72"/>
      <c r="K16" s="70"/>
      <c r="L16" s="85">
        <v>23</v>
      </c>
      <c r="M16" s="72"/>
      <c r="N16" s="70"/>
      <c r="O16" s="124" t="s">
        <v>167</v>
      </c>
      <c r="P16" s="125"/>
      <c r="Q16" s="125"/>
      <c r="R16" s="126"/>
      <c r="T16" s="81"/>
    </row>
    <row r="17" spans="1:20" ht="42" customHeight="1" x14ac:dyDescent="0.15">
      <c r="C17" s="71">
        <v>9</v>
      </c>
      <c r="D17" s="117"/>
      <c r="E17" s="74" t="s">
        <v>155</v>
      </c>
      <c r="F17" s="124" t="s">
        <v>166</v>
      </c>
      <c r="G17" s="125"/>
      <c r="H17" s="126"/>
      <c r="I17" s="85">
        <v>21</v>
      </c>
      <c r="J17" s="72"/>
      <c r="K17" s="70"/>
      <c r="L17" s="85">
        <v>23</v>
      </c>
      <c r="M17" s="72"/>
      <c r="N17" s="70"/>
      <c r="O17" s="124" t="s">
        <v>167</v>
      </c>
      <c r="P17" s="125"/>
      <c r="Q17" s="125"/>
      <c r="R17" s="126"/>
      <c r="T17" s="81"/>
    </row>
    <row r="21" spans="1:20" x14ac:dyDescent="0.15">
      <c r="A21" s="79"/>
      <c r="B21" s="80" t="s">
        <v>68</v>
      </c>
    </row>
    <row r="22" spans="1:20" x14ac:dyDescent="0.15">
      <c r="C22" t="s">
        <v>172</v>
      </c>
    </row>
    <row r="23" spans="1:20" x14ac:dyDescent="0.15">
      <c r="C23" t="s">
        <v>171</v>
      </c>
    </row>
    <row r="24" spans="1:20" x14ac:dyDescent="0.15">
      <c r="C24" s="73"/>
      <c r="D24" s="73"/>
      <c r="E24" s="73"/>
    </row>
    <row r="25" spans="1:20" x14ac:dyDescent="0.15">
      <c r="C25" s="75" t="s">
        <v>4</v>
      </c>
      <c r="D25" s="76"/>
      <c r="E25" s="76" t="s">
        <v>63</v>
      </c>
      <c r="F25" s="76" t="s">
        <v>77</v>
      </c>
      <c r="G25" s="78"/>
      <c r="H25" s="77"/>
      <c r="I25" s="76" t="s">
        <v>69</v>
      </c>
      <c r="J25" s="78"/>
      <c r="K25" s="77"/>
      <c r="L25" s="76" t="s">
        <v>70</v>
      </c>
      <c r="M25" s="78"/>
      <c r="N25" s="78"/>
      <c r="O25" s="77"/>
      <c r="P25" s="88"/>
      <c r="Q25" s="88"/>
      <c r="R25" s="88"/>
    </row>
    <row r="26" spans="1:20" ht="189.95" customHeight="1" x14ac:dyDescent="0.15">
      <c r="C26" s="71">
        <v>1</v>
      </c>
      <c r="D26" s="115" t="s">
        <v>164</v>
      </c>
      <c r="E26" s="74" t="s">
        <v>158</v>
      </c>
      <c r="F26" s="124" t="s">
        <v>173</v>
      </c>
      <c r="G26" s="125"/>
      <c r="H26" s="126"/>
      <c r="I26" s="85">
        <v>20</v>
      </c>
      <c r="J26" s="86"/>
      <c r="K26" s="87"/>
      <c r="L26" s="118" t="s">
        <v>175</v>
      </c>
      <c r="M26" s="119"/>
      <c r="N26" s="119"/>
      <c r="O26" s="120"/>
      <c r="P26" s="89"/>
      <c r="Q26" s="89"/>
      <c r="R26" s="89"/>
      <c r="T26" s="81"/>
    </row>
    <row r="27" spans="1:20" x14ac:dyDescent="0.15">
      <c r="C27" s="71">
        <v>2</v>
      </c>
      <c r="D27" s="117"/>
      <c r="E27" s="74" t="s">
        <v>100</v>
      </c>
      <c r="F27" s="121" t="s">
        <v>176</v>
      </c>
      <c r="G27" s="122"/>
      <c r="H27" s="123"/>
      <c r="I27" s="85">
        <v>20</v>
      </c>
      <c r="J27" s="72"/>
      <c r="K27" s="70"/>
      <c r="L27" s="118" t="s">
        <v>175</v>
      </c>
      <c r="M27" s="119"/>
      <c r="N27" s="119"/>
      <c r="O27" s="120"/>
      <c r="P27" s="82"/>
      <c r="Q27" s="82"/>
      <c r="R27" s="82"/>
      <c r="T27" s="81"/>
    </row>
    <row r="28" spans="1:20" ht="120" customHeight="1" x14ac:dyDescent="0.15">
      <c r="C28" s="71">
        <v>3</v>
      </c>
      <c r="D28" s="69" t="s">
        <v>165</v>
      </c>
      <c r="E28" s="74" t="s">
        <v>157</v>
      </c>
      <c r="F28" s="124" t="s">
        <v>177</v>
      </c>
      <c r="G28" s="125"/>
      <c r="H28" s="126"/>
      <c r="I28" s="85">
        <v>22</v>
      </c>
      <c r="J28" s="72"/>
      <c r="K28" s="70"/>
      <c r="L28" s="118" t="s">
        <v>178</v>
      </c>
      <c r="M28" s="119"/>
      <c r="N28" s="119"/>
      <c r="O28" s="120"/>
      <c r="P28" s="82"/>
      <c r="Q28" s="82"/>
      <c r="R28" s="82"/>
      <c r="T28" s="81"/>
    </row>
    <row r="31" spans="1:20" x14ac:dyDescent="0.15">
      <c r="C31" t="s">
        <v>46</v>
      </c>
    </row>
  </sheetData>
  <mergeCells count="27">
    <mergeCell ref="L26:O26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26:H26"/>
    <mergeCell ref="D9:D12"/>
    <mergeCell ref="D13:D17"/>
    <mergeCell ref="D26:D27"/>
    <mergeCell ref="L27:O27"/>
    <mergeCell ref="L28:O28"/>
    <mergeCell ref="F27:H27"/>
    <mergeCell ref="F28:H28"/>
    <mergeCell ref="O10:R10"/>
    <mergeCell ref="O11:R11"/>
    <mergeCell ref="O12:R12"/>
    <mergeCell ref="O13:R13"/>
    <mergeCell ref="O14:R14"/>
    <mergeCell ref="O15:R15"/>
    <mergeCell ref="O16:R16"/>
    <mergeCell ref="O17:R17"/>
    <mergeCell ref="O9:R9"/>
  </mergeCells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4ECF-44A4-4249-A8E9-F7746DF0A258}">
  <dimension ref="A1:X31"/>
  <sheetViews>
    <sheetView showGridLines="0" zoomScale="90" zoomScaleNormal="90" workbookViewId="0"/>
  </sheetViews>
  <sheetFormatPr defaultRowHeight="13.5" x14ac:dyDescent="0.15"/>
  <cols>
    <col min="1" max="1" width="2.625" customWidth="1"/>
    <col min="2" max="2" width="2.75" customWidth="1"/>
    <col min="4" max="4" width="21.375" bestFit="1" customWidth="1"/>
    <col min="5" max="5" width="41.875" bestFit="1" customWidth="1"/>
    <col min="6" max="8" width="18.625" customWidth="1"/>
    <col min="9" max="11" width="9" customWidth="1"/>
    <col min="24" max="24" width="11.75" customWidth="1"/>
  </cols>
  <sheetData>
    <row r="1" spans="1:24" x14ac:dyDescent="0.15">
      <c r="A1" s="79" t="s">
        <v>131</v>
      </c>
    </row>
    <row r="2" spans="1:24" x14ac:dyDescent="0.15">
      <c r="A2" s="79"/>
      <c r="B2" t="s">
        <v>199</v>
      </c>
    </row>
    <row r="3" spans="1:24" x14ac:dyDescent="0.15">
      <c r="A3" s="79"/>
    </row>
    <row r="4" spans="1:24" x14ac:dyDescent="0.15">
      <c r="A4" s="79"/>
      <c r="B4" s="80" t="s">
        <v>67</v>
      </c>
    </row>
    <row r="5" spans="1:24" x14ac:dyDescent="0.15">
      <c r="C5" t="s">
        <v>170</v>
      </c>
    </row>
    <row r="6" spans="1:24" x14ac:dyDescent="0.15">
      <c r="C6" t="s">
        <v>171</v>
      </c>
    </row>
    <row r="7" spans="1:24" x14ac:dyDescent="0.15">
      <c r="C7" s="73"/>
      <c r="D7" s="73"/>
      <c r="E7" s="73"/>
    </row>
    <row r="8" spans="1:24" x14ac:dyDescent="0.15">
      <c r="C8" s="75" t="s">
        <v>4</v>
      </c>
      <c r="D8" s="76" t="s">
        <v>130</v>
      </c>
      <c r="E8" s="76" t="s">
        <v>132</v>
      </c>
      <c r="F8" s="76" t="s">
        <v>64</v>
      </c>
      <c r="G8" s="78"/>
      <c r="H8" s="77"/>
      <c r="I8" s="76" t="s">
        <v>65</v>
      </c>
      <c r="J8" s="78"/>
      <c r="K8" s="77"/>
      <c r="L8" s="76" t="s">
        <v>308</v>
      </c>
      <c r="M8" s="78"/>
      <c r="N8" s="77"/>
      <c r="O8" s="78" t="s">
        <v>66</v>
      </c>
      <c r="P8" s="78"/>
      <c r="Q8" s="78"/>
      <c r="R8" s="78"/>
      <c r="S8" s="78"/>
      <c r="T8" s="78"/>
      <c r="U8" s="78"/>
      <c r="V8" s="77"/>
    </row>
    <row r="9" spans="1:24" ht="49.5" customHeight="1" x14ac:dyDescent="0.15">
      <c r="C9" s="71">
        <v>1</v>
      </c>
      <c r="D9" s="115" t="s">
        <v>133</v>
      </c>
      <c r="E9" s="74" t="s">
        <v>87</v>
      </c>
      <c r="F9" s="124" t="s">
        <v>179</v>
      </c>
      <c r="G9" s="125"/>
      <c r="H9" s="126"/>
      <c r="I9" s="85">
        <v>20</v>
      </c>
      <c r="J9" s="86"/>
      <c r="K9" s="87"/>
      <c r="L9" s="85">
        <v>20</v>
      </c>
      <c r="M9" s="72"/>
      <c r="N9" s="70"/>
      <c r="O9" s="124" t="s">
        <v>159</v>
      </c>
      <c r="P9" s="125"/>
      <c r="Q9" s="125"/>
      <c r="R9" s="125"/>
      <c r="S9" s="125"/>
      <c r="T9" s="125"/>
      <c r="U9" s="125"/>
      <c r="V9" s="126"/>
      <c r="X9" s="81"/>
    </row>
    <row r="10" spans="1:24" ht="102" customHeight="1" x14ac:dyDescent="0.15">
      <c r="C10" s="71">
        <v>2</v>
      </c>
      <c r="D10" s="116"/>
      <c r="E10" s="74" t="s">
        <v>86</v>
      </c>
      <c r="F10" s="124" t="s">
        <v>180</v>
      </c>
      <c r="G10" s="125"/>
      <c r="H10" s="126"/>
      <c r="I10" s="85">
        <v>20</v>
      </c>
      <c r="J10" s="72"/>
      <c r="K10" s="70"/>
      <c r="L10" s="85">
        <v>20</v>
      </c>
      <c r="M10" s="72"/>
      <c r="N10" s="70"/>
      <c r="O10" s="124" t="s">
        <v>159</v>
      </c>
      <c r="P10" s="125"/>
      <c r="Q10" s="125"/>
      <c r="R10" s="125"/>
      <c r="S10" s="125"/>
      <c r="T10" s="125"/>
      <c r="U10" s="125"/>
      <c r="V10" s="126"/>
      <c r="X10" s="81"/>
    </row>
    <row r="11" spans="1:24" ht="102" customHeight="1" x14ac:dyDescent="0.15">
      <c r="C11" s="71">
        <v>3</v>
      </c>
      <c r="D11" s="117"/>
      <c r="E11" s="74" t="s">
        <v>90</v>
      </c>
      <c r="F11" s="124" t="s">
        <v>194</v>
      </c>
      <c r="G11" s="125"/>
      <c r="H11" s="126"/>
      <c r="I11" s="85">
        <v>20</v>
      </c>
      <c r="J11" s="72"/>
      <c r="K11" s="70"/>
      <c r="L11" s="85">
        <v>20</v>
      </c>
      <c r="M11" s="72"/>
      <c r="N11" s="70"/>
      <c r="O11" s="124" t="s">
        <v>159</v>
      </c>
      <c r="P11" s="125"/>
      <c r="Q11" s="125"/>
      <c r="R11" s="125"/>
      <c r="S11" s="125"/>
      <c r="T11" s="125"/>
      <c r="U11" s="125"/>
      <c r="V11" s="126"/>
      <c r="X11" s="81"/>
    </row>
    <row r="12" spans="1:24" ht="50.1" customHeight="1" x14ac:dyDescent="0.15">
      <c r="C12" s="71">
        <v>4</v>
      </c>
      <c r="D12" s="115" t="s">
        <v>134</v>
      </c>
      <c r="E12" s="74" t="s">
        <v>87</v>
      </c>
      <c r="F12" s="124" t="s">
        <v>181</v>
      </c>
      <c r="G12" s="125"/>
      <c r="H12" s="126"/>
      <c r="I12" s="85">
        <v>20</v>
      </c>
      <c r="J12" s="86"/>
      <c r="K12" s="87"/>
      <c r="L12" s="85">
        <v>20</v>
      </c>
      <c r="M12" s="72"/>
      <c r="N12" s="70"/>
      <c r="O12" s="124" t="s">
        <v>182</v>
      </c>
      <c r="P12" s="125"/>
      <c r="Q12" s="125"/>
      <c r="R12" s="125"/>
      <c r="S12" s="125"/>
      <c r="T12" s="125"/>
      <c r="U12" s="125"/>
      <c r="V12" s="126"/>
      <c r="X12" s="81"/>
    </row>
    <row r="13" spans="1:24" ht="90" customHeight="1" x14ac:dyDescent="0.15">
      <c r="C13" s="71">
        <v>5</v>
      </c>
      <c r="D13" s="116"/>
      <c r="E13" s="74" t="s">
        <v>86</v>
      </c>
      <c r="F13" s="124" t="s">
        <v>183</v>
      </c>
      <c r="G13" s="125"/>
      <c r="H13" s="126"/>
      <c r="I13" s="85">
        <v>20</v>
      </c>
      <c r="J13" s="72"/>
      <c r="K13" s="70"/>
      <c r="L13" s="85">
        <v>20</v>
      </c>
      <c r="M13" s="72"/>
      <c r="N13" s="70"/>
      <c r="O13" s="124" t="s">
        <v>184</v>
      </c>
      <c r="P13" s="125"/>
      <c r="Q13" s="125"/>
      <c r="R13" s="125"/>
      <c r="S13" s="125"/>
      <c r="T13" s="125"/>
      <c r="U13" s="125"/>
      <c r="V13" s="126"/>
      <c r="X13" s="81"/>
    </row>
    <row r="14" spans="1:24" ht="120" customHeight="1" x14ac:dyDescent="0.15">
      <c r="C14" s="71">
        <v>6</v>
      </c>
      <c r="D14" s="117"/>
      <c r="E14" s="74" t="s">
        <v>90</v>
      </c>
      <c r="F14" s="124" t="s">
        <v>195</v>
      </c>
      <c r="G14" s="125"/>
      <c r="H14" s="126"/>
      <c r="I14" s="85">
        <v>20</v>
      </c>
      <c r="J14" s="72"/>
      <c r="K14" s="70"/>
      <c r="L14" s="85">
        <v>20</v>
      </c>
      <c r="M14" s="72"/>
      <c r="N14" s="70"/>
      <c r="O14" s="124" t="s">
        <v>196</v>
      </c>
      <c r="P14" s="125"/>
      <c r="Q14" s="125"/>
      <c r="R14" s="125"/>
      <c r="S14" s="125"/>
      <c r="T14" s="125"/>
      <c r="U14" s="125"/>
      <c r="V14" s="126"/>
      <c r="X14" s="81"/>
    </row>
    <row r="18" spans="1:24" x14ac:dyDescent="0.15">
      <c r="A18" s="79"/>
      <c r="B18" s="80" t="s">
        <v>68</v>
      </c>
    </row>
    <row r="19" spans="1:24" x14ac:dyDescent="0.15">
      <c r="C19" t="s">
        <v>172</v>
      </c>
    </row>
    <row r="20" spans="1:24" x14ac:dyDescent="0.15">
      <c r="C20" t="s">
        <v>171</v>
      </c>
    </row>
    <row r="21" spans="1:24" x14ac:dyDescent="0.15">
      <c r="C21" s="73"/>
      <c r="D21" s="73"/>
      <c r="E21" s="73"/>
    </row>
    <row r="22" spans="1:24" x14ac:dyDescent="0.15">
      <c r="C22" s="75" t="s">
        <v>4</v>
      </c>
      <c r="D22" s="76" t="s">
        <v>130</v>
      </c>
      <c r="E22" s="76" t="s">
        <v>136</v>
      </c>
      <c r="F22" s="76" t="s">
        <v>77</v>
      </c>
      <c r="G22" s="78"/>
      <c r="H22" s="77"/>
      <c r="I22" s="76" t="s">
        <v>69</v>
      </c>
      <c r="J22" s="78"/>
      <c r="K22" s="77"/>
      <c r="L22" s="76" t="s">
        <v>70</v>
      </c>
      <c r="M22" s="78"/>
      <c r="N22" s="78"/>
      <c r="O22" s="78"/>
      <c r="P22" s="78"/>
      <c r="Q22" s="78"/>
      <c r="R22" s="78"/>
      <c r="S22" s="77"/>
      <c r="T22" s="88"/>
      <c r="U22" s="88"/>
      <c r="V22" s="88"/>
    </row>
    <row r="23" spans="1:24" ht="48" customHeight="1" x14ac:dyDescent="0.15">
      <c r="C23" s="71">
        <v>1</v>
      </c>
      <c r="D23" s="115" t="s">
        <v>133</v>
      </c>
      <c r="E23" s="74" t="s">
        <v>87</v>
      </c>
      <c r="F23" s="124" t="s">
        <v>187</v>
      </c>
      <c r="G23" s="125"/>
      <c r="H23" s="126"/>
      <c r="I23" s="85">
        <v>20</v>
      </c>
      <c r="J23" s="86"/>
      <c r="K23" s="87"/>
      <c r="L23" s="118" t="s">
        <v>175</v>
      </c>
      <c r="M23" s="119"/>
      <c r="N23" s="119"/>
      <c r="O23" s="119"/>
      <c r="P23" s="119"/>
      <c r="Q23" s="119"/>
      <c r="R23" s="119"/>
      <c r="S23" s="120"/>
      <c r="T23" s="89"/>
      <c r="U23" s="89"/>
      <c r="V23" s="89"/>
      <c r="X23" s="81"/>
    </row>
    <row r="24" spans="1:24" ht="61.5" customHeight="1" x14ac:dyDescent="0.15">
      <c r="C24" s="71">
        <v>2</v>
      </c>
      <c r="D24" s="116"/>
      <c r="E24" s="74" t="s">
        <v>86</v>
      </c>
      <c r="F24" s="124" t="s">
        <v>188</v>
      </c>
      <c r="G24" s="125"/>
      <c r="H24" s="126"/>
      <c r="I24" s="85">
        <v>20</v>
      </c>
      <c r="J24" s="72"/>
      <c r="K24" s="70"/>
      <c r="L24" s="118" t="s">
        <v>175</v>
      </c>
      <c r="M24" s="119"/>
      <c r="N24" s="119"/>
      <c r="O24" s="119"/>
      <c r="P24" s="119"/>
      <c r="Q24" s="119"/>
      <c r="R24" s="119"/>
      <c r="S24" s="120"/>
      <c r="T24" s="82"/>
      <c r="U24" s="82"/>
      <c r="V24" s="82"/>
      <c r="X24" s="81"/>
    </row>
    <row r="25" spans="1:24" ht="62.1" customHeight="1" x14ac:dyDescent="0.15">
      <c r="C25" s="71">
        <v>3</v>
      </c>
      <c r="D25" s="117"/>
      <c r="E25" s="74" t="s">
        <v>90</v>
      </c>
      <c r="F25" s="124" t="s">
        <v>189</v>
      </c>
      <c r="G25" s="125"/>
      <c r="H25" s="126"/>
      <c r="I25" s="85">
        <v>20</v>
      </c>
      <c r="J25" s="72"/>
      <c r="K25" s="70"/>
      <c r="L25" s="118" t="s">
        <v>175</v>
      </c>
      <c r="M25" s="119"/>
      <c r="N25" s="119"/>
      <c r="O25" s="119"/>
      <c r="P25" s="119"/>
      <c r="Q25" s="119"/>
      <c r="R25" s="119"/>
      <c r="S25" s="120"/>
      <c r="T25" s="82"/>
      <c r="U25" s="82"/>
      <c r="V25" s="82"/>
      <c r="X25" s="81"/>
    </row>
    <row r="26" spans="1:24" ht="48" customHeight="1" x14ac:dyDescent="0.15">
      <c r="C26" s="71">
        <v>4</v>
      </c>
      <c r="D26" s="115" t="s">
        <v>135</v>
      </c>
      <c r="E26" s="74" t="s">
        <v>87</v>
      </c>
      <c r="F26" s="124" t="s">
        <v>190</v>
      </c>
      <c r="G26" s="125"/>
      <c r="H26" s="126"/>
      <c r="I26" s="85">
        <v>20</v>
      </c>
      <c r="J26" s="86"/>
      <c r="K26" s="87"/>
      <c r="L26" s="118" t="s">
        <v>193</v>
      </c>
      <c r="M26" s="119"/>
      <c r="N26" s="119"/>
      <c r="O26" s="119"/>
      <c r="P26" s="119"/>
      <c r="Q26" s="119"/>
      <c r="R26" s="119"/>
      <c r="S26" s="120"/>
      <c r="T26" s="89"/>
      <c r="U26" s="89"/>
      <c r="V26" s="89"/>
      <c r="X26" s="81"/>
    </row>
    <row r="27" spans="1:24" ht="62.1" customHeight="1" x14ac:dyDescent="0.15">
      <c r="C27" s="71">
        <v>5</v>
      </c>
      <c r="D27" s="116"/>
      <c r="E27" s="74" t="s">
        <v>86</v>
      </c>
      <c r="F27" s="124" t="s">
        <v>192</v>
      </c>
      <c r="G27" s="125"/>
      <c r="H27" s="126"/>
      <c r="I27" s="85">
        <v>20</v>
      </c>
      <c r="J27" s="72"/>
      <c r="K27" s="70"/>
      <c r="L27" s="118" t="s">
        <v>191</v>
      </c>
      <c r="M27" s="119"/>
      <c r="N27" s="119"/>
      <c r="O27" s="119"/>
      <c r="P27" s="119"/>
      <c r="Q27" s="119"/>
      <c r="R27" s="119"/>
      <c r="S27" s="120"/>
      <c r="T27" s="82"/>
      <c r="U27" s="82"/>
      <c r="V27" s="82"/>
      <c r="X27" s="81"/>
    </row>
    <row r="28" spans="1:24" ht="62.1" customHeight="1" x14ac:dyDescent="0.15">
      <c r="C28" s="71">
        <v>6</v>
      </c>
      <c r="D28" s="117"/>
      <c r="E28" s="74" t="s">
        <v>90</v>
      </c>
      <c r="F28" s="124" t="s">
        <v>197</v>
      </c>
      <c r="G28" s="125"/>
      <c r="H28" s="126"/>
      <c r="I28" s="85">
        <v>20</v>
      </c>
      <c r="J28" s="72"/>
      <c r="K28" s="70"/>
      <c r="L28" s="118" t="s">
        <v>198</v>
      </c>
      <c r="M28" s="119"/>
      <c r="N28" s="119"/>
      <c r="O28" s="119"/>
      <c r="P28" s="119"/>
      <c r="Q28" s="119"/>
      <c r="R28" s="119"/>
      <c r="S28" s="120"/>
      <c r="T28" s="82"/>
      <c r="U28" s="82"/>
      <c r="V28" s="82"/>
      <c r="X28" s="81"/>
    </row>
    <row r="31" spans="1:24" x14ac:dyDescent="0.15">
      <c r="C31" t="s">
        <v>46</v>
      </c>
    </row>
  </sheetData>
  <mergeCells count="28">
    <mergeCell ref="O12:V12"/>
    <mergeCell ref="L26:S26"/>
    <mergeCell ref="D12:D14"/>
    <mergeCell ref="D9:D11"/>
    <mergeCell ref="O9:V9"/>
    <mergeCell ref="D26:D28"/>
    <mergeCell ref="D23:D25"/>
    <mergeCell ref="L23:S23"/>
    <mergeCell ref="F9:H9"/>
    <mergeCell ref="F10:H10"/>
    <mergeCell ref="O10:V10"/>
    <mergeCell ref="O11:V11"/>
    <mergeCell ref="O13:V13"/>
    <mergeCell ref="O14:V14"/>
    <mergeCell ref="F11:H11"/>
    <mergeCell ref="F12:H12"/>
    <mergeCell ref="F13:H13"/>
    <mergeCell ref="F14:H14"/>
    <mergeCell ref="F23:H23"/>
    <mergeCell ref="L24:S24"/>
    <mergeCell ref="L25:S25"/>
    <mergeCell ref="L27:S27"/>
    <mergeCell ref="L28:S28"/>
    <mergeCell ref="F24:H24"/>
    <mergeCell ref="F25:H25"/>
    <mergeCell ref="F26:H26"/>
    <mergeCell ref="F27:H27"/>
    <mergeCell ref="F28:H28"/>
  </mergeCells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ED102-3861-45A6-A6F5-06C217E5F6D5}">
  <dimension ref="A1:X27"/>
  <sheetViews>
    <sheetView showGridLines="0" zoomScale="90" zoomScaleNormal="90" workbookViewId="0"/>
  </sheetViews>
  <sheetFormatPr defaultRowHeight="13.5" x14ac:dyDescent="0.15"/>
  <cols>
    <col min="1" max="1" width="2.625" customWidth="1"/>
    <col min="2" max="2" width="2.75" customWidth="1"/>
    <col min="4" max="4" width="21.375" bestFit="1" customWidth="1"/>
    <col min="5" max="5" width="41.875" bestFit="1" customWidth="1"/>
    <col min="6" max="8" width="16.625" customWidth="1"/>
    <col min="9" max="11" width="9" customWidth="1"/>
    <col min="24" max="24" width="11.75" customWidth="1"/>
  </cols>
  <sheetData>
    <row r="1" spans="1:24" x14ac:dyDescent="0.15">
      <c r="A1" s="79" t="s">
        <v>137</v>
      </c>
    </row>
    <row r="2" spans="1:24" x14ac:dyDescent="0.15">
      <c r="A2" s="79"/>
      <c r="B2" t="s">
        <v>253</v>
      </c>
    </row>
    <row r="3" spans="1:24" x14ac:dyDescent="0.15">
      <c r="A3" s="79"/>
    </row>
    <row r="4" spans="1:24" x14ac:dyDescent="0.15">
      <c r="A4" s="79"/>
      <c r="B4" s="80" t="s">
        <v>67</v>
      </c>
    </row>
    <row r="5" spans="1:24" x14ac:dyDescent="0.15">
      <c r="C5" t="s">
        <v>170</v>
      </c>
    </row>
    <row r="6" spans="1:24" x14ac:dyDescent="0.15">
      <c r="C6" t="s">
        <v>171</v>
      </c>
    </row>
    <row r="7" spans="1:24" x14ac:dyDescent="0.15">
      <c r="C7" s="73"/>
      <c r="D7" s="73"/>
      <c r="E7" s="73"/>
    </row>
    <row r="8" spans="1:24" x14ac:dyDescent="0.15">
      <c r="C8" s="75" t="s">
        <v>4</v>
      </c>
      <c r="D8" s="76" t="s">
        <v>246</v>
      </c>
      <c r="E8" s="76" t="s">
        <v>132</v>
      </c>
      <c r="F8" s="76" t="s">
        <v>64</v>
      </c>
      <c r="G8" s="78"/>
      <c r="H8" s="77"/>
      <c r="I8" s="76" t="s">
        <v>65</v>
      </c>
      <c r="J8" s="78"/>
      <c r="K8" s="77"/>
      <c r="L8" s="76" t="s">
        <v>308</v>
      </c>
      <c r="M8" s="78"/>
      <c r="N8" s="77"/>
      <c r="O8" s="78" t="s">
        <v>66</v>
      </c>
      <c r="P8" s="78"/>
      <c r="Q8" s="78"/>
      <c r="R8" s="78"/>
      <c r="S8" s="78"/>
      <c r="T8" s="78"/>
      <c r="U8" s="78"/>
      <c r="V8" s="77"/>
    </row>
    <row r="9" spans="1:24" ht="59.25" customHeight="1" x14ac:dyDescent="0.15">
      <c r="C9" s="71">
        <v>1</v>
      </c>
      <c r="D9" s="115" t="s">
        <v>248</v>
      </c>
      <c r="E9" s="74" t="s">
        <v>91</v>
      </c>
      <c r="F9" s="124" t="s">
        <v>200</v>
      </c>
      <c r="G9" s="125"/>
      <c r="H9" s="126"/>
      <c r="I9" s="85">
        <v>20</v>
      </c>
      <c r="J9" s="86"/>
      <c r="K9" s="87"/>
      <c r="L9" s="85">
        <v>20</v>
      </c>
      <c r="M9" s="72"/>
      <c r="N9" s="70"/>
      <c r="O9" s="124" t="s">
        <v>201</v>
      </c>
      <c r="P9" s="125"/>
      <c r="Q9" s="125"/>
      <c r="R9" s="125"/>
      <c r="S9" s="125"/>
      <c r="T9" s="125"/>
      <c r="U9" s="125"/>
      <c r="V9" s="126"/>
      <c r="X9" s="81"/>
    </row>
    <row r="10" spans="1:24" ht="85.5" customHeight="1" x14ac:dyDescent="0.15">
      <c r="C10" s="71">
        <v>2</v>
      </c>
      <c r="D10" s="117"/>
      <c r="E10" s="74" t="s">
        <v>139</v>
      </c>
      <c r="F10" s="124" t="s">
        <v>203</v>
      </c>
      <c r="G10" s="125"/>
      <c r="H10" s="126"/>
      <c r="I10" s="85">
        <v>20</v>
      </c>
      <c r="J10" s="72"/>
      <c r="K10" s="70"/>
      <c r="L10" s="85">
        <v>20</v>
      </c>
      <c r="M10" s="72"/>
      <c r="N10" s="70"/>
      <c r="O10" s="124" t="s">
        <v>202</v>
      </c>
      <c r="P10" s="125"/>
      <c r="Q10" s="125"/>
      <c r="R10" s="125"/>
      <c r="S10" s="125"/>
      <c r="T10" s="125"/>
      <c r="U10" s="125"/>
      <c r="V10" s="126"/>
      <c r="X10" s="81"/>
    </row>
    <row r="11" spans="1:24" ht="48.75" customHeight="1" x14ac:dyDescent="0.15">
      <c r="C11" s="71">
        <v>3</v>
      </c>
      <c r="D11" s="115" t="s">
        <v>249</v>
      </c>
      <c r="E11" s="74" t="s">
        <v>91</v>
      </c>
      <c r="F11" s="124" t="s">
        <v>204</v>
      </c>
      <c r="G11" s="125"/>
      <c r="H11" s="126"/>
      <c r="I11" s="85">
        <v>20</v>
      </c>
      <c r="J11" s="86"/>
      <c r="K11" s="87"/>
      <c r="L11" s="85">
        <v>20</v>
      </c>
      <c r="M11" s="72"/>
      <c r="N11" s="70"/>
      <c r="O11" s="124" t="s">
        <v>201</v>
      </c>
      <c r="P11" s="125"/>
      <c r="Q11" s="125"/>
      <c r="R11" s="125"/>
      <c r="S11" s="125"/>
      <c r="T11" s="125"/>
      <c r="U11" s="125"/>
      <c r="V11" s="126"/>
      <c r="X11" s="81"/>
    </row>
    <row r="12" spans="1:24" ht="90" customHeight="1" x14ac:dyDescent="0.15">
      <c r="C12" s="71">
        <v>4</v>
      </c>
      <c r="D12" s="117"/>
      <c r="E12" s="74" t="s">
        <v>138</v>
      </c>
      <c r="F12" s="124" t="s">
        <v>205</v>
      </c>
      <c r="G12" s="125"/>
      <c r="H12" s="126"/>
      <c r="I12" s="85">
        <v>20</v>
      </c>
      <c r="J12" s="72"/>
      <c r="K12" s="70"/>
      <c r="L12" s="85">
        <v>20</v>
      </c>
      <c r="M12" s="72"/>
      <c r="N12" s="70"/>
      <c r="O12" s="124" t="s">
        <v>202</v>
      </c>
      <c r="P12" s="125"/>
      <c r="Q12" s="125"/>
      <c r="R12" s="125"/>
      <c r="S12" s="125"/>
      <c r="T12" s="125"/>
      <c r="U12" s="125"/>
      <c r="V12" s="126"/>
      <c r="X12" s="81"/>
    </row>
    <row r="16" spans="1:24" x14ac:dyDescent="0.15">
      <c r="A16" s="79"/>
      <c r="B16" s="80" t="s">
        <v>68</v>
      </c>
    </row>
    <row r="17" spans="3:24" x14ac:dyDescent="0.15">
      <c r="C17" t="s">
        <v>172</v>
      </c>
    </row>
    <row r="18" spans="3:24" x14ac:dyDescent="0.15">
      <c r="C18" t="s">
        <v>171</v>
      </c>
    </row>
    <row r="19" spans="3:24" x14ac:dyDescent="0.15">
      <c r="C19" s="73"/>
      <c r="D19" s="73"/>
      <c r="E19" s="73"/>
    </row>
    <row r="20" spans="3:24" x14ac:dyDescent="0.15">
      <c r="C20" s="75" t="s">
        <v>4</v>
      </c>
      <c r="D20" s="76" t="s">
        <v>247</v>
      </c>
      <c r="E20" s="76" t="s">
        <v>136</v>
      </c>
      <c r="F20" s="76" t="s">
        <v>77</v>
      </c>
      <c r="G20" s="78"/>
      <c r="H20" s="77"/>
      <c r="I20" s="76" t="s">
        <v>69</v>
      </c>
      <c r="J20" s="78"/>
      <c r="K20" s="77"/>
      <c r="L20" s="76" t="s">
        <v>70</v>
      </c>
      <c r="M20" s="78"/>
      <c r="N20" s="78"/>
      <c r="O20" s="78"/>
      <c r="P20" s="78"/>
      <c r="Q20" s="78"/>
      <c r="R20" s="78"/>
      <c r="S20" s="77"/>
      <c r="T20" s="88"/>
      <c r="U20" s="88"/>
      <c r="V20" s="88"/>
    </row>
    <row r="21" spans="3:24" ht="252.75" customHeight="1" x14ac:dyDescent="0.15">
      <c r="C21" s="71">
        <v>1</v>
      </c>
      <c r="D21" s="115" t="s">
        <v>248</v>
      </c>
      <c r="E21" s="74" t="s">
        <v>91</v>
      </c>
      <c r="F21" s="124" t="s">
        <v>250</v>
      </c>
      <c r="G21" s="125"/>
      <c r="H21" s="126"/>
      <c r="I21" s="85">
        <v>20</v>
      </c>
      <c r="J21" s="86"/>
      <c r="K21" s="87"/>
      <c r="L21" s="118" t="s">
        <v>242</v>
      </c>
      <c r="M21" s="119"/>
      <c r="N21" s="119"/>
      <c r="O21" s="119"/>
      <c r="P21" s="119"/>
      <c r="Q21" s="119"/>
      <c r="R21" s="119"/>
      <c r="S21" s="120"/>
      <c r="T21" s="89"/>
      <c r="U21" s="89"/>
      <c r="V21" s="89"/>
      <c r="X21" s="81"/>
    </row>
    <row r="22" spans="3:24" ht="273.75" customHeight="1" x14ac:dyDescent="0.15">
      <c r="C22" s="71">
        <v>2</v>
      </c>
      <c r="D22" s="117"/>
      <c r="E22" s="74" t="s">
        <v>138</v>
      </c>
      <c r="F22" s="124" t="s">
        <v>251</v>
      </c>
      <c r="G22" s="125"/>
      <c r="H22" s="126"/>
      <c r="I22" s="85">
        <v>20</v>
      </c>
      <c r="J22" s="72"/>
      <c r="K22" s="70"/>
      <c r="L22" s="118" t="s">
        <v>244</v>
      </c>
      <c r="M22" s="119"/>
      <c r="N22" s="119"/>
      <c r="O22" s="119"/>
      <c r="P22" s="119"/>
      <c r="Q22" s="119"/>
      <c r="R22" s="119"/>
      <c r="S22" s="120"/>
      <c r="T22" s="82"/>
      <c r="U22" s="82"/>
      <c r="V22" s="82"/>
      <c r="X22" s="81"/>
    </row>
    <row r="23" spans="3:24" ht="40.5" customHeight="1" x14ac:dyDescent="0.15">
      <c r="C23" s="71">
        <v>3</v>
      </c>
      <c r="D23" s="115" t="s">
        <v>249</v>
      </c>
      <c r="E23" s="74" t="s">
        <v>91</v>
      </c>
      <c r="F23" s="124" t="s">
        <v>245</v>
      </c>
      <c r="G23" s="125"/>
      <c r="H23" s="126"/>
      <c r="I23" s="85">
        <v>20</v>
      </c>
      <c r="J23" s="86"/>
      <c r="K23" s="87"/>
      <c r="L23" s="118" t="s">
        <v>174</v>
      </c>
      <c r="M23" s="119"/>
      <c r="N23" s="119"/>
      <c r="O23" s="119"/>
      <c r="P23" s="119"/>
      <c r="Q23" s="119"/>
      <c r="R23" s="119"/>
      <c r="S23" s="120"/>
      <c r="T23" s="89"/>
      <c r="U23" s="89"/>
      <c r="V23" s="89"/>
      <c r="X23" s="81"/>
    </row>
    <row r="24" spans="3:24" ht="65.25" customHeight="1" x14ac:dyDescent="0.15">
      <c r="C24" s="71">
        <v>4</v>
      </c>
      <c r="D24" s="117"/>
      <c r="E24" s="74" t="s">
        <v>138</v>
      </c>
      <c r="F24" s="124" t="s">
        <v>252</v>
      </c>
      <c r="G24" s="125"/>
      <c r="H24" s="126"/>
      <c r="I24" s="85">
        <v>20</v>
      </c>
      <c r="J24" s="72"/>
      <c r="K24" s="70"/>
      <c r="L24" s="118" t="s">
        <v>243</v>
      </c>
      <c r="M24" s="119"/>
      <c r="N24" s="119"/>
      <c r="O24" s="119"/>
      <c r="P24" s="119"/>
      <c r="Q24" s="119"/>
      <c r="R24" s="119"/>
      <c r="S24" s="120"/>
      <c r="T24" s="82"/>
      <c r="U24" s="82"/>
      <c r="V24" s="82"/>
      <c r="X24" s="81"/>
    </row>
    <row r="27" spans="3:24" x14ac:dyDescent="0.15">
      <c r="C27" t="s">
        <v>46</v>
      </c>
    </row>
  </sheetData>
  <mergeCells count="20">
    <mergeCell ref="D9:D10"/>
    <mergeCell ref="O9:V9"/>
    <mergeCell ref="D11:D12"/>
    <mergeCell ref="O11:V11"/>
    <mergeCell ref="D21:D22"/>
    <mergeCell ref="L21:S21"/>
    <mergeCell ref="F9:H9"/>
    <mergeCell ref="L22:S22"/>
    <mergeCell ref="L24:S24"/>
    <mergeCell ref="D23:D24"/>
    <mergeCell ref="L23:S23"/>
    <mergeCell ref="F22:H22"/>
    <mergeCell ref="F23:H23"/>
    <mergeCell ref="F24:H24"/>
    <mergeCell ref="F10:H10"/>
    <mergeCell ref="F11:H11"/>
    <mergeCell ref="F12:H12"/>
    <mergeCell ref="F21:H21"/>
    <mergeCell ref="O10:V10"/>
    <mergeCell ref="O12:V12"/>
  </mergeCells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12C36-5338-475A-B9CC-42690E0A3602}">
  <dimension ref="A1:W25"/>
  <sheetViews>
    <sheetView showGridLines="0" zoomScale="90" zoomScaleNormal="90" workbookViewId="0"/>
  </sheetViews>
  <sheetFormatPr defaultRowHeight="13.5" x14ac:dyDescent="0.15"/>
  <cols>
    <col min="1" max="1" width="2.625" customWidth="1"/>
    <col min="2" max="2" width="2.75" customWidth="1"/>
    <col min="4" max="4" width="30.625" customWidth="1"/>
    <col min="5" max="7" width="16.625" customWidth="1"/>
    <col min="8" max="10" width="9" customWidth="1"/>
    <col min="23" max="23" width="11.75" customWidth="1"/>
  </cols>
  <sheetData>
    <row r="1" spans="1:23" x14ac:dyDescent="0.15">
      <c r="A1" s="79" t="s">
        <v>144</v>
      </c>
    </row>
    <row r="2" spans="1:23" x14ac:dyDescent="0.15">
      <c r="A2" s="79"/>
      <c r="B2" t="s">
        <v>268</v>
      </c>
    </row>
    <row r="3" spans="1:23" x14ac:dyDescent="0.15">
      <c r="A3" s="79"/>
    </row>
    <row r="4" spans="1:23" x14ac:dyDescent="0.15">
      <c r="A4" s="79"/>
      <c r="B4" s="80" t="s">
        <v>67</v>
      </c>
    </row>
    <row r="5" spans="1:23" x14ac:dyDescent="0.15">
      <c r="C5" t="s">
        <v>170</v>
      </c>
    </row>
    <row r="6" spans="1:23" x14ac:dyDescent="0.15">
      <c r="C6" t="s">
        <v>171</v>
      </c>
    </row>
    <row r="7" spans="1:23" x14ac:dyDescent="0.15">
      <c r="C7" s="73"/>
      <c r="D7" s="73"/>
    </row>
    <row r="8" spans="1:23" x14ac:dyDescent="0.15">
      <c r="C8" s="75" t="s">
        <v>4</v>
      </c>
      <c r="D8" s="76" t="s">
        <v>110</v>
      </c>
      <c r="E8" s="76" t="s">
        <v>64</v>
      </c>
      <c r="F8" s="78"/>
      <c r="G8" s="77"/>
      <c r="H8" s="76" t="s">
        <v>65</v>
      </c>
      <c r="I8" s="78"/>
      <c r="J8" s="77"/>
      <c r="K8" s="76" t="s">
        <v>308</v>
      </c>
      <c r="L8" s="78"/>
      <c r="M8" s="77"/>
      <c r="N8" s="78" t="s">
        <v>66</v>
      </c>
      <c r="O8" s="78"/>
      <c r="P8" s="78"/>
      <c r="Q8" s="78"/>
      <c r="R8" s="78"/>
      <c r="S8" s="78"/>
      <c r="T8" s="78"/>
      <c r="U8" s="77"/>
    </row>
    <row r="9" spans="1:23" ht="27" x14ac:dyDescent="0.15">
      <c r="C9" s="71">
        <v>1</v>
      </c>
      <c r="D9" s="74" t="s">
        <v>141</v>
      </c>
      <c r="E9" s="124" t="s">
        <v>270</v>
      </c>
      <c r="F9" s="125"/>
      <c r="G9" s="126"/>
      <c r="H9" s="85">
        <v>1</v>
      </c>
      <c r="I9" s="72"/>
      <c r="J9" s="70"/>
      <c r="K9" s="85">
        <v>0</v>
      </c>
      <c r="L9" s="72"/>
      <c r="M9" s="70"/>
      <c r="N9" s="124" t="s">
        <v>271</v>
      </c>
      <c r="O9" s="125"/>
      <c r="P9" s="125"/>
      <c r="Q9" s="125"/>
      <c r="R9" s="125"/>
      <c r="S9" s="125"/>
      <c r="T9" s="125"/>
      <c r="U9" s="126"/>
      <c r="W9" s="81"/>
    </row>
    <row r="10" spans="1:23" ht="36.75" customHeight="1" x14ac:dyDescent="0.15">
      <c r="C10" s="71">
        <v>2</v>
      </c>
      <c r="D10" s="74" t="s">
        <v>94</v>
      </c>
      <c r="E10" s="124" t="s">
        <v>269</v>
      </c>
      <c r="F10" s="125"/>
      <c r="G10" s="126"/>
      <c r="H10" s="85">
        <v>34</v>
      </c>
      <c r="I10" s="72"/>
      <c r="J10" s="70"/>
      <c r="K10" s="85">
        <v>35</v>
      </c>
      <c r="L10" s="72"/>
      <c r="M10" s="70"/>
      <c r="N10" s="124" t="s">
        <v>312</v>
      </c>
      <c r="O10" s="125"/>
      <c r="P10" s="125"/>
      <c r="Q10" s="125"/>
      <c r="R10" s="125"/>
      <c r="S10" s="125"/>
      <c r="T10" s="125"/>
      <c r="U10" s="126"/>
      <c r="W10" s="81"/>
    </row>
    <row r="11" spans="1:23" ht="27" x14ac:dyDescent="0.15">
      <c r="C11" s="71">
        <v>3</v>
      </c>
      <c r="D11" s="74" t="s">
        <v>142</v>
      </c>
      <c r="E11" s="124" t="s">
        <v>272</v>
      </c>
      <c r="F11" s="125"/>
      <c r="G11" s="126"/>
      <c r="H11" s="85">
        <v>0</v>
      </c>
      <c r="I11" s="72"/>
      <c r="J11" s="70"/>
      <c r="K11" s="85">
        <v>1</v>
      </c>
      <c r="L11" s="72"/>
      <c r="M11" s="70"/>
      <c r="N11" s="124" t="s">
        <v>273</v>
      </c>
      <c r="O11" s="125"/>
      <c r="P11" s="125"/>
      <c r="Q11" s="125"/>
      <c r="R11" s="125"/>
      <c r="S11" s="125"/>
      <c r="T11" s="125"/>
      <c r="U11" s="126"/>
      <c r="W11" s="81"/>
    </row>
    <row r="12" spans="1:23" ht="36.75" customHeight="1" x14ac:dyDescent="0.15">
      <c r="C12" s="71">
        <v>4</v>
      </c>
      <c r="D12" s="74" t="s">
        <v>95</v>
      </c>
      <c r="E12" s="124" t="s">
        <v>269</v>
      </c>
      <c r="F12" s="125"/>
      <c r="G12" s="126"/>
      <c r="H12" s="85">
        <v>35</v>
      </c>
      <c r="I12" s="72"/>
      <c r="J12" s="70"/>
      <c r="K12" s="85">
        <v>34</v>
      </c>
      <c r="L12" s="72"/>
      <c r="M12" s="70"/>
      <c r="N12" s="124" t="s">
        <v>274</v>
      </c>
      <c r="O12" s="125"/>
      <c r="P12" s="125"/>
      <c r="Q12" s="125"/>
      <c r="R12" s="125"/>
      <c r="S12" s="125"/>
      <c r="T12" s="125"/>
      <c r="U12" s="126"/>
      <c r="W12" s="81"/>
    </row>
    <row r="16" spans="1:23" x14ac:dyDescent="0.15">
      <c r="A16" s="79"/>
      <c r="B16" s="80" t="s">
        <v>68</v>
      </c>
    </row>
    <row r="17" spans="3:23" x14ac:dyDescent="0.15">
      <c r="C17" t="s">
        <v>172</v>
      </c>
    </row>
    <row r="18" spans="3:23" x14ac:dyDescent="0.15">
      <c r="C18" t="s">
        <v>171</v>
      </c>
    </row>
    <row r="19" spans="3:23" x14ac:dyDescent="0.15">
      <c r="C19" s="73"/>
      <c r="D19" s="73"/>
    </row>
    <row r="20" spans="3:23" x14ac:dyDescent="0.15">
      <c r="C20" s="75" t="s">
        <v>4</v>
      </c>
      <c r="D20" s="76" t="s">
        <v>110</v>
      </c>
      <c r="E20" s="76" t="s">
        <v>77</v>
      </c>
      <c r="F20" s="78"/>
      <c r="G20" s="77"/>
      <c r="H20" s="76" t="s">
        <v>69</v>
      </c>
      <c r="I20" s="78"/>
      <c r="J20" s="77"/>
      <c r="K20" s="76" t="s">
        <v>70</v>
      </c>
      <c r="L20" s="78"/>
      <c r="M20" s="78"/>
      <c r="N20" s="78"/>
      <c r="O20" s="78"/>
      <c r="P20" s="78"/>
      <c r="Q20" s="78"/>
      <c r="R20" s="77"/>
      <c r="S20" s="88"/>
      <c r="T20" s="88"/>
      <c r="U20" s="88"/>
    </row>
    <row r="21" spans="3:23" ht="27" x14ac:dyDescent="0.15">
      <c r="C21" s="71">
        <v>1</v>
      </c>
      <c r="D21" s="74" t="s">
        <v>143</v>
      </c>
      <c r="E21" s="124" t="s">
        <v>278</v>
      </c>
      <c r="F21" s="125"/>
      <c r="G21" s="126"/>
      <c r="H21" s="85">
        <v>1</v>
      </c>
      <c r="I21" s="72"/>
      <c r="J21" s="70"/>
      <c r="K21" s="118" t="s">
        <v>279</v>
      </c>
      <c r="L21" s="119"/>
      <c r="M21" s="119"/>
      <c r="N21" s="119"/>
      <c r="O21" s="119"/>
      <c r="P21" s="119"/>
      <c r="Q21" s="119"/>
      <c r="R21" s="120"/>
      <c r="S21" s="82"/>
      <c r="T21" s="82"/>
      <c r="U21" s="82"/>
      <c r="W21" s="81"/>
    </row>
    <row r="22" spans="3:23" ht="27" x14ac:dyDescent="0.15">
      <c r="C22" s="71">
        <v>2</v>
      </c>
      <c r="D22" s="74" t="s">
        <v>101</v>
      </c>
      <c r="E22" s="124" t="s">
        <v>280</v>
      </c>
      <c r="F22" s="125"/>
      <c r="G22" s="126"/>
      <c r="H22" s="85">
        <v>34</v>
      </c>
      <c r="I22" s="72"/>
      <c r="J22" s="70"/>
      <c r="K22" s="118" t="s">
        <v>281</v>
      </c>
      <c r="L22" s="119"/>
      <c r="M22" s="119"/>
      <c r="N22" s="119"/>
      <c r="O22" s="119"/>
      <c r="P22" s="119"/>
      <c r="Q22" s="119"/>
      <c r="R22" s="120"/>
      <c r="S22" s="82"/>
      <c r="T22" s="82"/>
      <c r="U22" s="82"/>
      <c r="W22" s="81"/>
    </row>
    <row r="25" spans="3:23" x14ac:dyDescent="0.15">
      <c r="C25" t="s">
        <v>46</v>
      </c>
    </row>
  </sheetData>
  <mergeCells count="12">
    <mergeCell ref="E9:G9"/>
    <mergeCell ref="E10:G10"/>
    <mergeCell ref="E11:G11"/>
    <mergeCell ref="E12:G12"/>
    <mergeCell ref="N9:U9"/>
    <mergeCell ref="K22:R22"/>
    <mergeCell ref="E21:G21"/>
    <mergeCell ref="E22:G22"/>
    <mergeCell ref="N10:U10"/>
    <mergeCell ref="N11:U11"/>
    <mergeCell ref="N12:U12"/>
    <mergeCell ref="K21:R21"/>
  </mergeCells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B163-6B86-4C41-BB77-54ADD44CEF94}">
  <dimension ref="A1:W25"/>
  <sheetViews>
    <sheetView showGridLines="0" zoomScale="90" zoomScaleNormal="90" workbookViewId="0"/>
  </sheetViews>
  <sheetFormatPr defaultRowHeight="13.5" x14ac:dyDescent="0.15"/>
  <cols>
    <col min="1" max="1" width="2.625" customWidth="1"/>
    <col min="2" max="2" width="2.75" customWidth="1"/>
    <col min="4" max="4" width="30.625" customWidth="1"/>
    <col min="5" max="7" width="16.625" customWidth="1"/>
    <col min="8" max="10" width="9" customWidth="1"/>
    <col min="23" max="23" width="11.75" customWidth="1"/>
  </cols>
  <sheetData>
    <row r="1" spans="1:23" x14ac:dyDescent="0.15">
      <c r="A1" s="79" t="s">
        <v>145</v>
      </c>
    </row>
    <row r="2" spans="1:23" x14ac:dyDescent="0.15">
      <c r="A2" s="79"/>
      <c r="B2" t="s">
        <v>285</v>
      </c>
    </row>
    <row r="3" spans="1:23" x14ac:dyDescent="0.15">
      <c r="A3" s="79"/>
    </row>
    <row r="4" spans="1:23" x14ac:dyDescent="0.15">
      <c r="A4" s="79"/>
      <c r="B4" s="80" t="s">
        <v>67</v>
      </c>
    </row>
    <row r="5" spans="1:23" x14ac:dyDescent="0.15">
      <c r="C5" t="s">
        <v>170</v>
      </c>
    </row>
    <row r="6" spans="1:23" x14ac:dyDescent="0.15">
      <c r="C6" t="s">
        <v>171</v>
      </c>
    </row>
    <row r="7" spans="1:23" x14ac:dyDescent="0.15">
      <c r="C7" s="73"/>
      <c r="D7" s="73"/>
    </row>
    <row r="8" spans="1:23" x14ac:dyDescent="0.15">
      <c r="C8" s="75" t="s">
        <v>4</v>
      </c>
      <c r="D8" s="76" t="s">
        <v>110</v>
      </c>
      <c r="E8" s="76" t="s">
        <v>64</v>
      </c>
      <c r="F8" s="78"/>
      <c r="G8" s="77"/>
      <c r="H8" s="76" t="s">
        <v>65</v>
      </c>
      <c r="I8" s="78"/>
      <c r="J8" s="77"/>
      <c r="K8" s="76" t="s">
        <v>308</v>
      </c>
      <c r="L8" s="78"/>
      <c r="M8" s="77"/>
      <c r="N8" s="78" t="s">
        <v>66</v>
      </c>
      <c r="O8" s="78"/>
      <c r="P8" s="78"/>
      <c r="Q8" s="78"/>
      <c r="R8" s="78"/>
      <c r="S8" s="78"/>
      <c r="T8" s="78"/>
      <c r="U8" s="77"/>
    </row>
    <row r="9" spans="1:23" x14ac:dyDescent="0.15">
      <c r="C9" s="71">
        <v>1</v>
      </c>
      <c r="D9" s="74" t="s">
        <v>96</v>
      </c>
      <c r="E9" s="124" t="s">
        <v>290</v>
      </c>
      <c r="F9" s="125"/>
      <c r="G9" s="126"/>
      <c r="H9" s="85">
        <v>0</v>
      </c>
      <c r="I9" s="86"/>
      <c r="J9" s="87"/>
      <c r="K9" s="85">
        <v>1</v>
      </c>
      <c r="L9" s="72"/>
      <c r="M9" s="70"/>
      <c r="N9" s="124" t="s">
        <v>289</v>
      </c>
      <c r="O9" s="125"/>
      <c r="P9" s="125"/>
      <c r="Q9" s="125"/>
      <c r="R9" s="125"/>
      <c r="S9" s="125"/>
      <c r="T9" s="125"/>
      <c r="U9" s="126"/>
      <c r="W9" s="81"/>
    </row>
    <row r="10" spans="1:23" x14ac:dyDescent="0.15">
      <c r="C10" s="71">
        <v>2</v>
      </c>
      <c r="D10" s="74" t="s">
        <v>97</v>
      </c>
      <c r="E10" s="124" t="s">
        <v>288</v>
      </c>
      <c r="F10" s="125"/>
      <c r="G10" s="126"/>
      <c r="H10" s="85">
        <v>35</v>
      </c>
      <c r="I10" s="72"/>
      <c r="J10" s="70"/>
      <c r="K10" s="85">
        <v>34</v>
      </c>
      <c r="L10" s="72"/>
      <c r="M10" s="70"/>
      <c r="N10" s="124" t="s">
        <v>295</v>
      </c>
      <c r="O10" s="125"/>
      <c r="P10" s="125"/>
      <c r="Q10" s="125"/>
      <c r="R10" s="125"/>
      <c r="S10" s="125"/>
      <c r="T10" s="125"/>
      <c r="U10" s="126"/>
      <c r="W10" s="81"/>
    </row>
    <row r="11" spans="1:23" x14ac:dyDescent="0.15">
      <c r="C11" s="71">
        <v>3</v>
      </c>
      <c r="D11" s="74" t="s">
        <v>98</v>
      </c>
      <c r="E11" s="124" t="s">
        <v>291</v>
      </c>
      <c r="F11" s="125"/>
      <c r="G11" s="126"/>
      <c r="H11" s="85">
        <v>1</v>
      </c>
      <c r="I11" s="72"/>
      <c r="J11" s="70"/>
      <c r="K11" s="85">
        <v>0</v>
      </c>
      <c r="L11" s="72"/>
      <c r="M11" s="70"/>
      <c r="N11" s="124" t="s">
        <v>292</v>
      </c>
      <c r="O11" s="125"/>
      <c r="P11" s="125"/>
      <c r="Q11" s="125"/>
      <c r="R11" s="125"/>
      <c r="S11" s="125"/>
      <c r="T11" s="125"/>
      <c r="U11" s="126"/>
      <c r="W11" s="81"/>
    </row>
    <row r="12" spans="1:23" x14ac:dyDescent="0.15">
      <c r="C12" s="71">
        <v>4</v>
      </c>
      <c r="D12" s="74" t="s">
        <v>99</v>
      </c>
      <c r="E12" s="124" t="s">
        <v>293</v>
      </c>
      <c r="F12" s="125"/>
      <c r="G12" s="126"/>
      <c r="H12" s="85">
        <v>34</v>
      </c>
      <c r="I12" s="72"/>
      <c r="J12" s="70"/>
      <c r="K12" s="85">
        <v>35</v>
      </c>
      <c r="L12" s="72"/>
      <c r="M12" s="70"/>
      <c r="N12" s="124" t="s">
        <v>294</v>
      </c>
      <c r="O12" s="125"/>
      <c r="P12" s="125"/>
      <c r="Q12" s="125"/>
      <c r="R12" s="125"/>
      <c r="S12" s="125"/>
      <c r="T12" s="125"/>
      <c r="U12" s="126"/>
      <c r="W12" s="81"/>
    </row>
    <row r="16" spans="1:23" x14ac:dyDescent="0.15">
      <c r="A16" s="79"/>
      <c r="B16" s="80" t="s">
        <v>68</v>
      </c>
    </row>
    <row r="17" spans="3:23" x14ac:dyDescent="0.15">
      <c r="C17" t="s">
        <v>172</v>
      </c>
    </row>
    <row r="18" spans="3:23" x14ac:dyDescent="0.15">
      <c r="C18" t="s">
        <v>171</v>
      </c>
    </row>
    <row r="19" spans="3:23" x14ac:dyDescent="0.15">
      <c r="C19" s="73"/>
      <c r="D19" s="73"/>
    </row>
    <row r="20" spans="3:23" x14ac:dyDescent="0.15">
      <c r="C20" s="75" t="s">
        <v>4</v>
      </c>
      <c r="D20" s="76" t="s">
        <v>110</v>
      </c>
      <c r="E20" s="76" t="s">
        <v>77</v>
      </c>
      <c r="F20" s="78"/>
      <c r="G20" s="77"/>
      <c r="H20" s="76" t="s">
        <v>69</v>
      </c>
      <c r="I20" s="78"/>
      <c r="J20" s="77"/>
      <c r="K20" s="76" t="s">
        <v>70</v>
      </c>
      <c r="L20" s="78"/>
      <c r="M20" s="78"/>
      <c r="N20" s="78"/>
      <c r="O20" s="78"/>
      <c r="P20" s="78"/>
      <c r="Q20" s="78"/>
      <c r="R20" s="77"/>
      <c r="S20" s="88"/>
      <c r="T20" s="88"/>
      <c r="U20" s="88"/>
    </row>
    <row r="21" spans="3:23" ht="27" customHeight="1" x14ac:dyDescent="0.15">
      <c r="C21" s="71">
        <v>1</v>
      </c>
      <c r="D21" s="74" t="s">
        <v>286</v>
      </c>
      <c r="E21" s="124" t="s">
        <v>296</v>
      </c>
      <c r="F21" s="125"/>
      <c r="G21" s="126"/>
      <c r="H21" s="85">
        <v>0</v>
      </c>
      <c r="I21" s="86"/>
      <c r="J21" s="87"/>
      <c r="K21" s="118" t="s">
        <v>279</v>
      </c>
      <c r="L21" s="119"/>
      <c r="M21" s="119"/>
      <c r="N21" s="119"/>
      <c r="O21" s="119"/>
      <c r="P21" s="119"/>
      <c r="Q21" s="119"/>
      <c r="R21" s="120"/>
      <c r="S21" s="89"/>
      <c r="T21" s="89"/>
      <c r="U21" s="89"/>
      <c r="W21" s="81"/>
    </row>
    <row r="22" spans="3:23" x14ac:dyDescent="0.15">
      <c r="C22" s="71">
        <v>2</v>
      </c>
      <c r="D22" s="74" t="s">
        <v>287</v>
      </c>
      <c r="E22" s="124" t="s">
        <v>297</v>
      </c>
      <c r="F22" s="125"/>
      <c r="G22" s="126"/>
      <c r="H22" s="85">
        <v>35</v>
      </c>
      <c r="I22" s="72"/>
      <c r="J22" s="70"/>
      <c r="K22" s="118" t="s">
        <v>298</v>
      </c>
      <c r="L22" s="119"/>
      <c r="M22" s="119"/>
      <c r="N22" s="119"/>
      <c r="O22" s="119"/>
      <c r="P22" s="119"/>
      <c r="Q22" s="119"/>
      <c r="R22" s="120"/>
      <c r="S22" s="82"/>
      <c r="T22" s="82"/>
      <c r="U22" s="82"/>
      <c r="W22" s="81"/>
    </row>
    <row r="25" spans="3:23" x14ac:dyDescent="0.15">
      <c r="C25" t="s">
        <v>46</v>
      </c>
    </row>
  </sheetData>
  <mergeCells count="12">
    <mergeCell ref="N9:U9"/>
    <mergeCell ref="K21:R21"/>
    <mergeCell ref="E9:G9"/>
    <mergeCell ref="E10:G10"/>
    <mergeCell ref="E11:G11"/>
    <mergeCell ref="E12:G12"/>
    <mergeCell ref="E21:G21"/>
    <mergeCell ref="E22:G22"/>
    <mergeCell ref="K22:R22"/>
    <mergeCell ref="N10:U10"/>
    <mergeCell ref="N11:U11"/>
    <mergeCell ref="N12:U12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3</vt:i4>
      </vt:variant>
    </vt:vector>
  </HeadingPairs>
  <TitlesOfParts>
    <vt:vector size="12" baseType="lpstr">
      <vt:lpstr>表紙</vt:lpstr>
      <vt:lpstr>変更履歴</vt:lpstr>
      <vt:lpstr>集計</vt:lpstr>
      <vt:lpstr>1.結合試験</vt:lpstr>
      <vt:lpstr>【別紙1】最適化条件の精度パターン</vt:lpstr>
      <vt:lpstr>【別紙2】最適化後のボクセル内パターン</vt:lpstr>
      <vt:lpstr>【別紙3】最適化後のボクセルが重複パターン</vt:lpstr>
      <vt:lpstr>【別紙4】最適化前の精度パターン</vt:lpstr>
      <vt:lpstr>【別紙5】最適化後の精度パターン</vt:lpstr>
      <vt:lpstr>'1.結合試験'!Print_Area</vt:lpstr>
      <vt:lpstr>表紙!Print_Area</vt:lpstr>
      <vt:lpstr>'1.結合試験'!Print_Titles</vt:lpstr>
    </vt:vector>
  </TitlesOfParts>
  <Company>NTTアドバンステクノロジ株式会社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平子 卓弥</dc:creator>
  <cp:lastModifiedBy>藤間 英輔</cp:lastModifiedBy>
  <cp:lastPrinted>2018-07-18T02:26:07Z</cp:lastPrinted>
  <dcterms:created xsi:type="dcterms:W3CDTF">2007-06-29T08:55:04Z</dcterms:created>
  <dcterms:modified xsi:type="dcterms:W3CDTF">2023-02-08T01:32:06Z</dcterms:modified>
</cp:coreProperties>
</file>