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fs\3事本-技術\project\NTTATS_空間ID\10：ドローン空間情報管理システム開発\60：IT\02：結合試験項目書\"/>
    </mc:Choice>
  </mc:AlternateContent>
  <xr:revisionPtr revIDLastSave="0" documentId="13_ncr:1_{42A1D441-6C5E-45DF-8556-43DC861DD2CA}" xr6:coauthVersionLast="47" xr6:coauthVersionMax="47" xr10:uidLastSave="{00000000-0000-0000-0000-000000000000}"/>
  <bookViews>
    <workbookView xWindow="-120" yWindow="-120" windowWidth="29040" windowHeight="15840" tabRatio="872" xr2:uid="{00000000-000D-0000-FFFF-FFFF00000000}"/>
  </bookViews>
  <sheets>
    <sheet name="表紙" sheetId="15" r:id="rId1"/>
    <sheet name="変更履歴" sheetId="37" r:id="rId2"/>
    <sheet name="集計" sheetId="35" r:id="rId3"/>
    <sheet name="1.結合試験" sheetId="27" r:id="rId4"/>
    <sheet name="【別紙1】変換前後の精度差パターン" sheetId="40" r:id="rId5"/>
    <sheet name="【別紙2】変換前の空間IDパターン" sheetId="43" r:id="rId6"/>
    <sheet name="【別紙3】変換後拡張空間IDの重複パターン" sheetId="44" r:id="rId7"/>
    <sheet name="【別紙4】変換後の角に接するパターン" sheetId="45" r:id="rId8"/>
    <sheet name="【別紙5】変換前拡張空間IDの複数入力パターン" sheetId="46" r:id="rId9"/>
    <sheet name="【参考】精度変換時の仕様" sheetId="42" r:id="rId10"/>
  </sheets>
  <definedNames>
    <definedName name="_xlnm._FilterDatabase" localSheetId="3" hidden="1">'1.結合試験'!$A$2:$M$111</definedName>
    <definedName name="_xlnm._FilterDatabase" localSheetId="1" hidden="1">#REF!</definedName>
    <definedName name="_xlnm._FilterDatabase" hidden="1">#REF!</definedName>
    <definedName name="HTML_CodePage" hidden="1">1</definedName>
    <definedName name="HTML_Control" localSheetId="4" hidden="1">{"'発注データ送信 確認事項'!$A$1:$D$28"}</definedName>
    <definedName name="HTML_Control" localSheetId="5" hidden="1">{"'発注データ送信 確認事項'!$A$1:$D$28"}</definedName>
    <definedName name="HTML_Control" localSheetId="6" hidden="1">{"'発注データ送信 確認事項'!$A$1:$D$28"}</definedName>
    <definedName name="HTML_Control" localSheetId="7" hidden="1">{"'発注データ送信 確認事項'!$A$1:$D$28"}</definedName>
    <definedName name="HTML_Control" localSheetId="8" hidden="1">{"'発注データ送信 確認事項'!$A$1:$D$28"}</definedName>
    <definedName name="HTML_Control" localSheetId="1" hidden="1">{"'発注データ送信 確認事項'!$A$1:$D$28"}</definedName>
    <definedName name="HTML_Control" hidden="1">{"'発注データ送信 確認事項'!$A$1:$D$28"}</definedName>
    <definedName name="HTML_Description" hidden="1">""</definedName>
    <definedName name="HTML_Email" hidden="1">""</definedName>
    <definedName name="HTML_Header" hidden="1">"全銀確認事項"</definedName>
    <definedName name="HTML_LastUpdate" hidden="1">"00/03/23"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"C:\MyDocuments\acms.html"</definedName>
    <definedName name="HTML_Title" hidden="1">"全銀確認事項"</definedName>
    <definedName name="Level2ManDays" localSheetId="4">【別紙1】変換前後の精度差パターン!Level2ManDays</definedName>
    <definedName name="Level2ManDays" localSheetId="5">【別紙2】変換前の空間IDパターン!Level2ManDays</definedName>
    <definedName name="Level2ManDays" localSheetId="6">【別紙3】変換後拡張空間IDの重複パターン!Level2ManDays</definedName>
    <definedName name="Level2ManDays" localSheetId="7">【別紙4】変換後の角に接するパターン!Level2ManDays</definedName>
    <definedName name="Level2ManDays" localSheetId="8">【別紙5】変換前拡張空間IDの複数入力パターン!Level2ManDays</definedName>
    <definedName name="Level2ManDays" localSheetId="1">変更履歴!Level2ManDays</definedName>
    <definedName name="Level2ManDays">[0]!Level2ManDays</definedName>
    <definedName name="_xlnm.Print_Area" localSheetId="3">'1.結合試験'!$A$1:$M$112</definedName>
    <definedName name="_xlnm.Print_Area" localSheetId="0">表紙!$A$1:$Z$37</definedName>
    <definedName name="_xlnm.Print_Titles" localSheetId="3">'1.結合試験'!$1:$2</definedName>
    <definedName name="q" localSheetId="4" hidden="1">{"'発注データ送信 確認事項'!$A$1:$D$28"}</definedName>
    <definedName name="q" localSheetId="5" hidden="1">{"'発注データ送信 確認事項'!$A$1:$D$28"}</definedName>
    <definedName name="q" localSheetId="6" hidden="1">{"'発注データ送信 確認事項'!$A$1:$D$28"}</definedName>
    <definedName name="q" localSheetId="7" hidden="1">{"'発注データ送信 確認事項'!$A$1:$D$28"}</definedName>
    <definedName name="q" localSheetId="8" hidden="1">{"'発注データ送信 確認事項'!$A$1:$D$28"}</definedName>
    <definedName name="q" localSheetId="1" hidden="1">{"'発注データ送信 確認事項'!$A$1:$D$28"}</definedName>
    <definedName name="q" hidden="1">{"'発注データ送信 確認事項'!$A$1:$D$28"}</definedName>
    <definedName name="Z_D7445B85_74CE_4E1E_92EA_69A1A19161E0_.wvu.PrintArea" localSheetId="0" hidden="1">表紙!$A$1:$Z$29</definedName>
    <definedName name="Z_D81FE437_5A70_4B95_9988_CCF676E08ADD_.wvu.PrintArea" localSheetId="0" hidden="1">表紙!$A$1:$Z$29</definedName>
    <definedName name="Z_FDE9EE51_6A00_4F0D_8742_D96597166ACA_.wvu.PrintArea" localSheetId="0" hidden="1">表紙!$A$1:$Z$29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1" i="27" l="1"/>
  <c r="A110" i="27"/>
  <c r="A109" i="27"/>
  <c r="A108" i="27"/>
  <c r="A107" i="27"/>
  <c r="A106" i="27"/>
  <c r="A105" i="27"/>
  <c r="A104" i="27"/>
  <c r="A103" i="27"/>
  <c r="A102" i="27"/>
  <c r="B7" i="15"/>
  <c r="F117" i="27" l="1"/>
  <c r="F116" i="27"/>
  <c r="F115" i="27"/>
  <c r="B20" i="15" l="1"/>
  <c r="A1" i="27" l="1"/>
  <c r="S1" i="27"/>
  <c r="T3" i="27"/>
  <c r="T4" i="27" s="1"/>
  <c r="T5" i="27" s="1"/>
  <c r="T6" i="27" s="1"/>
  <c r="T7" i="27" s="1"/>
  <c r="T8" i="27" s="1"/>
  <c r="T9" i="27" s="1"/>
  <c r="T10" i="27" s="1"/>
  <c r="T11" i="27" s="1"/>
  <c r="T12" i="27" s="1"/>
  <c r="T13" i="27" s="1"/>
  <c r="T14" i="27" s="1"/>
  <c r="T15" i="27" s="1"/>
  <c r="T16" i="27" s="1"/>
  <c r="T17" i="27" s="1"/>
  <c r="T18" i="27" s="1"/>
  <c r="T19" i="27" s="1"/>
  <c r="T20" i="27" s="1"/>
  <c r="T21" i="27" s="1"/>
  <c r="T22" i="27" s="1"/>
  <c r="T23" i="27" s="1"/>
  <c r="T24" i="27" s="1"/>
  <c r="T25" i="27" s="1"/>
  <c r="S3" i="27"/>
  <c r="S4" i="27" s="1"/>
  <c r="S5" i="27" s="1"/>
  <c r="S6" i="27" s="1"/>
  <c r="S7" i="27" s="1"/>
  <c r="S8" i="27" s="1"/>
  <c r="S9" i="27" s="1"/>
  <c r="S10" i="27" s="1"/>
  <c r="S11" i="27" s="1"/>
  <c r="S12" i="27" s="1"/>
  <c r="S13" i="27" s="1"/>
  <c r="S14" i="27" s="1"/>
  <c r="S15" i="27" s="1"/>
  <c r="S16" i="27" s="1"/>
  <c r="S17" i="27" s="1"/>
  <c r="S18" i="27" s="1"/>
  <c r="S19" i="27" s="1"/>
  <c r="S20" i="27" s="1"/>
  <c r="S21" i="27" s="1"/>
  <c r="S22" i="27" s="1"/>
  <c r="S23" i="27" s="1"/>
  <c r="S24" i="27" s="1"/>
  <c r="S25" i="27" s="1"/>
  <c r="R3" i="27"/>
  <c r="R4" i="27" s="1"/>
  <c r="R5" i="27" s="1"/>
  <c r="R6" i="27" s="1"/>
  <c r="R7" i="27" s="1"/>
  <c r="R8" i="27" s="1"/>
  <c r="R9" i="27" s="1"/>
  <c r="R10" i="27" s="1"/>
  <c r="R11" i="27" s="1"/>
  <c r="R12" i="27" s="1"/>
  <c r="R13" i="27" s="1"/>
  <c r="R14" i="27" s="1"/>
  <c r="R15" i="27" s="1"/>
  <c r="R16" i="27" s="1"/>
  <c r="R17" i="27" s="1"/>
  <c r="R18" i="27" s="1"/>
  <c r="R19" i="27" s="1"/>
  <c r="R20" i="27" s="1"/>
  <c r="R21" i="27" s="1"/>
  <c r="R22" i="27" s="1"/>
  <c r="R23" i="27" s="1"/>
  <c r="R24" i="27" s="1"/>
  <c r="R25" i="27" s="1"/>
  <c r="T28" i="27" l="1"/>
  <c r="T29" i="27" s="1"/>
  <c r="T30" i="27" s="1"/>
  <c r="T31" i="27" s="1"/>
  <c r="T32" i="27" s="1"/>
  <c r="T33" i="27" s="1"/>
  <c r="T34" i="27" s="1"/>
  <c r="T35" i="27" s="1"/>
  <c r="T36" i="27" s="1"/>
  <c r="T37" i="27" s="1"/>
  <c r="T38" i="27" s="1"/>
  <c r="T39" i="27" s="1"/>
  <c r="T40" i="27" s="1"/>
  <c r="T41" i="27" s="1"/>
  <c r="T42" i="27" s="1"/>
  <c r="T43" i="27" s="1"/>
  <c r="T44" i="27" s="1"/>
  <c r="T45" i="27" s="1"/>
  <c r="T46" i="27" s="1"/>
  <c r="T47" i="27" s="1"/>
  <c r="T48" i="27" s="1"/>
  <c r="T49" i="27" s="1"/>
  <c r="T50" i="27" s="1"/>
  <c r="T51" i="27" s="1"/>
  <c r="T52" i="27" s="1"/>
  <c r="T53" i="27" s="1"/>
  <c r="T54" i="27" s="1"/>
  <c r="T55" i="27" s="1"/>
  <c r="T56" i="27" s="1"/>
  <c r="T57" i="27" s="1"/>
  <c r="T58" i="27" s="1"/>
  <c r="T59" i="27" s="1"/>
  <c r="T60" i="27" s="1"/>
  <c r="T61" i="27" s="1"/>
  <c r="T62" i="27" s="1"/>
  <c r="T63" i="27" s="1"/>
  <c r="T64" i="27" s="1"/>
  <c r="T65" i="27" s="1"/>
  <c r="T66" i="27" s="1"/>
  <c r="T67" i="27" s="1"/>
  <c r="T68" i="27" s="1"/>
  <c r="T69" i="27" s="1"/>
  <c r="T26" i="27"/>
  <c r="T27" i="27" s="1"/>
  <c r="S28" i="27"/>
  <c r="S29" i="27" s="1"/>
  <c r="S30" i="27" s="1"/>
  <c r="S31" i="27" s="1"/>
  <c r="S32" i="27" s="1"/>
  <c r="S33" i="27" s="1"/>
  <c r="S34" i="27" s="1"/>
  <c r="S35" i="27" s="1"/>
  <c r="S36" i="27" s="1"/>
  <c r="S37" i="27" s="1"/>
  <c r="S38" i="27" s="1"/>
  <c r="S39" i="27" s="1"/>
  <c r="S40" i="27" s="1"/>
  <c r="S41" i="27" s="1"/>
  <c r="S42" i="27" s="1"/>
  <c r="S43" i="27" s="1"/>
  <c r="S44" i="27" s="1"/>
  <c r="S45" i="27" s="1"/>
  <c r="S46" i="27" s="1"/>
  <c r="S47" i="27" s="1"/>
  <c r="S48" i="27" s="1"/>
  <c r="S49" i="27" s="1"/>
  <c r="S50" i="27" s="1"/>
  <c r="S51" i="27" s="1"/>
  <c r="S52" i="27" s="1"/>
  <c r="S53" i="27" s="1"/>
  <c r="S54" i="27" s="1"/>
  <c r="S55" i="27" s="1"/>
  <c r="S56" i="27" s="1"/>
  <c r="S57" i="27" s="1"/>
  <c r="S58" i="27" s="1"/>
  <c r="S59" i="27" s="1"/>
  <c r="S60" i="27" s="1"/>
  <c r="S61" i="27" s="1"/>
  <c r="S62" i="27" s="1"/>
  <c r="S63" i="27" s="1"/>
  <c r="S64" i="27" s="1"/>
  <c r="S65" i="27" s="1"/>
  <c r="S66" i="27" s="1"/>
  <c r="S67" i="27" s="1"/>
  <c r="S68" i="27" s="1"/>
  <c r="S69" i="27" s="1"/>
  <c r="S26" i="27"/>
  <c r="S27" i="27" s="1"/>
  <c r="R28" i="27"/>
  <c r="R29" i="27" s="1"/>
  <c r="R30" i="27" s="1"/>
  <c r="R31" i="27" s="1"/>
  <c r="R32" i="27" s="1"/>
  <c r="R33" i="27" s="1"/>
  <c r="R34" i="27" s="1"/>
  <c r="R35" i="27" s="1"/>
  <c r="R36" i="27" s="1"/>
  <c r="R37" i="27" s="1"/>
  <c r="R38" i="27" s="1"/>
  <c r="R39" i="27" s="1"/>
  <c r="R40" i="27" s="1"/>
  <c r="R41" i="27" s="1"/>
  <c r="R42" i="27" s="1"/>
  <c r="R43" i="27" s="1"/>
  <c r="R44" i="27" s="1"/>
  <c r="R45" i="27" s="1"/>
  <c r="R46" i="27" s="1"/>
  <c r="R47" i="27" s="1"/>
  <c r="R48" i="27" s="1"/>
  <c r="R49" i="27" s="1"/>
  <c r="R50" i="27" s="1"/>
  <c r="R51" i="27" s="1"/>
  <c r="R52" i="27" s="1"/>
  <c r="R53" i="27" s="1"/>
  <c r="R54" i="27" s="1"/>
  <c r="R55" i="27" s="1"/>
  <c r="R56" i="27" s="1"/>
  <c r="R57" i="27" s="1"/>
  <c r="R58" i="27" s="1"/>
  <c r="R59" i="27" s="1"/>
  <c r="R60" i="27" s="1"/>
  <c r="R61" i="27" s="1"/>
  <c r="R62" i="27" s="1"/>
  <c r="R63" i="27" s="1"/>
  <c r="R64" i="27" s="1"/>
  <c r="R65" i="27" s="1"/>
  <c r="R66" i="27" s="1"/>
  <c r="R67" i="27" s="1"/>
  <c r="R68" i="27" s="1"/>
  <c r="R69" i="27" s="1"/>
  <c r="R26" i="27"/>
  <c r="R27" i="27" s="1"/>
  <c r="A4" i="27"/>
  <c r="A22" i="27"/>
  <c r="A18" i="27"/>
  <c r="A14" i="27"/>
  <c r="A10" i="27"/>
  <c r="A6" i="27"/>
  <c r="A11" i="27"/>
  <c r="A25" i="27"/>
  <c r="A21" i="27"/>
  <c r="A17" i="27"/>
  <c r="M28" i="27" s="1"/>
  <c r="A13" i="27"/>
  <c r="A9" i="27"/>
  <c r="A5" i="27"/>
  <c r="A23" i="27"/>
  <c r="A15" i="27"/>
  <c r="A24" i="27"/>
  <c r="A20" i="27"/>
  <c r="A16" i="27"/>
  <c r="A12" i="27"/>
  <c r="A8" i="27"/>
  <c r="A19" i="27"/>
  <c r="A7" i="27"/>
  <c r="A3" i="27"/>
  <c r="A45" i="27" l="1"/>
  <c r="A68" i="27"/>
  <c r="A66" i="27"/>
  <c r="A30" i="27"/>
  <c r="A63" i="27"/>
  <c r="A33" i="27"/>
  <c r="A34" i="27"/>
  <c r="A53" i="27"/>
  <c r="A46" i="27"/>
  <c r="A35" i="27"/>
  <c r="A50" i="27"/>
  <c r="A61" i="27"/>
  <c r="A39" i="27"/>
  <c r="A36" i="27"/>
  <c r="A65" i="27"/>
  <c r="A38" i="27"/>
  <c r="A58" i="27"/>
  <c r="A51" i="27"/>
  <c r="A29" i="27"/>
  <c r="A44" i="27"/>
  <c r="A27" i="27"/>
  <c r="A42" i="27"/>
  <c r="A62" i="27"/>
  <c r="A37" i="27"/>
  <c r="A31" i="27"/>
  <c r="A55" i="27"/>
  <c r="A41" i="27"/>
  <c r="A52" i="27"/>
  <c r="R72" i="27"/>
  <c r="R73" i="27" s="1"/>
  <c r="R74" i="27" s="1"/>
  <c r="R70" i="27"/>
  <c r="T72" i="27"/>
  <c r="T73" i="27" s="1"/>
  <c r="T74" i="27" s="1"/>
  <c r="T75" i="27" s="1"/>
  <c r="T76" i="27" s="1"/>
  <c r="T77" i="27" s="1"/>
  <c r="T78" i="27" s="1"/>
  <c r="T79" i="27" s="1"/>
  <c r="T80" i="27" s="1"/>
  <c r="T81" i="27" s="1"/>
  <c r="T82" i="27" s="1"/>
  <c r="T83" i="27" s="1"/>
  <c r="T84" i="27" s="1"/>
  <c r="T85" i="27" s="1"/>
  <c r="T86" i="27" s="1"/>
  <c r="T87" i="27" s="1"/>
  <c r="T88" i="27" s="1"/>
  <c r="T89" i="27" s="1"/>
  <c r="T90" i="27" s="1"/>
  <c r="T91" i="27" s="1"/>
  <c r="T92" i="27" s="1"/>
  <c r="T93" i="27" s="1"/>
  <c r="T94" i="27" s="1"/>
  <c r="T95" i="27" s="1"/>
  <c r="T96" i="27" s="1"/>
  <c r="T97" i="27" s="1"/>
  <c r="T98" i="27" s="1"/>
  <c r="T99" i="27" s="1"/>
  <c r="T100" i="27" s="1"/>
  <c r="T101" i="27" s="1"/>
  <c r="T102" i="27" s="1"/>
  <c r="T103" i="27" s="1"/>
  <c r="T104" i="27" s="1"/>
  <c r="T105" i="27" s="1"/>
  <c r="T106" i="27" s="1"/>
  <c r="T107" i="27" s="1"/>
  <c r="T108" i="27" s="1"/>
  <c r="T109" i="27" s="1"/>
  <c r="T110" i="27" s="1"/>
  <c r="T111" i="27" s="1"/>
  <c r="T70" i="27"/>
  <c r="T71" i="27" s="1"/>
  <c r="A28" i="27"/>
  <c r="A56" i="27"/>
  <c r="S72" i="27"/>
  <c r="S73" i="27" s="1"/>
  <c r="S74" i="27" s="1"/>
  <c r="S75" i="27" s="1"/>
  <c r="S76" i="27" s="1"/>
  <c r="S77" i="27" s="1"/>
  <c r="S78" i="27" s="1"/>
  <c r="S79" i="27" s="1"/>
  <c r="S80" i="27" s="1"/>
  <c r="S81" i="27" s="1"/>
  <c r="S82" i="27" s="1"/>
  <c r="S83" i="27" s="1"/>
  <c r="S84" i="27" s="1"/>
  <c r="S85" i="27" s="1"/>
  <c r="S86" i="27" s="1"/>
  <c r="S87" i="27" s="1"/>
  <c r="S88" i="27" s="1"/>
  <c r="S89" i="27" s="1"/>
  <c r="S90" i="27" s="1"/>
  <c r="S91" i="27" s="1"/>
  <c r="S92" i="27" s="1"/>
  <c r="S93" i="27" s="1"/>
  <c r="S94" i="27" s="1"/>
  <c r="S95" i="27" s="1"/>
  <c r="S96" i="27" s="1"/>
  <c r="S97" i="27" s="1"/>
  <c r="S98" i="27" s="1"/>
  <c r="S99" i="27" s="1"/>
  <c r="S100" i="27" s="1"/>
  <c r="S101" i="27" s="1"/>
  <c r="S102" i="27" s="1"/>
  <c r="S103" i="27" s="1"/>
  <c r="S104" i="27" s="1"/>
  <c r="S105" i="27" s="1"/>
  <c r="S106" i="27" s="1"/>
  <c r="S107" i="27" s="1"/>
  <c r="S108" i="27" s="1"/>
  <c r="S109" i="27" s="1"/>
  <c r="S110" i="27" s="1"/>
  <c r="S111" i="27" s="1"/>
  <c r="S70" i="27"/>
  <c r="S71" i="27" s="1"/>
  <c r="A26" i="27"/>
  <c r="A54" i="27"/>
  <c r="A49" i="27"/>
  <c r="A47" i="27"/>
  <c r="A67" i="27"/>
  <c r="M72" i="27" s="1"/>
  <c r="A69" i="27"/>
  <c r="A40" i="27"/>
  <c r="A60" i="27"/>
  <c r="A43" i="27"/>
  <c r="A59" i="27"/>
  <c r="A57" i="27"/>
  <c r="A32" i="27"/>
  <c r="A48" i="27"/>
  <c r="A64" i="27"/>
  <c r="A73" i="27" l="1"/>
  <c r="A72" i="27"/>
  <c r="R71" i="27"/>
  <c r="A71" i="27" s="1"/>
  <c r="A70" i="27"/>
  <c r="R75" i="27"/>
  <c r="A74" i="27"/>
  <c r="R76" i="27" l="1"/>
  <c r="A75" i="27"/>
  <c r="R77" i="27" l="1"/>
  <c r="A76" i="27"/>
  <c r="R78" i="27" l="1"/>
  <c r="A77" i="27"/>
  <c r="R79" i="27" l="1"/>
  <c r="A78" i="27"/>
  <c r="R80" i="27" l="1"/>
  <c r="A79" i="27"/>
  <c r="R81" i="27" l="1"/>
  <c r="A80" i="27"/>
  <c r="D3" i="35" a="1"/>
  <c r="D11" i="35" a="1"/>
  <c r="D9" i="35" a="1"/>
  <c r="D10" i="35" a="1"/>
  <c r="A81" i="27" l="1"/>
  <c r="R82" i="27"/>
  <c r="D11" i="35"/>
  <c r="D3" i="35"/>
  <c r="D4" i="35" s="1"/>
  <c r="D10" i="35"/>
  <c r="D9" i="35"/>
  <c r="R83" i="27" l="1"/>
  <c r="A82" i="27"/>
  <c r="D8" i="35"/>
  <c r="C3" i="35" s="1"/>
  <c r="R84" i="27" l="1"/>
  <c r="A83" i="27"/>
  <c r="C4" i="35"/>
  <c r="E3" i="35"/>
  <c r="E4" i="35" s="1"/>
  <c r="R85" i="27" l="1"/>
  <c r="A84" i="27"/>
  <c r="A85" i="27" l="1"/>
  <c r="R86" i="27"/>
  <c r="R87" i="27" l="1"/>
  <c r="A86" i="27"/>
  <c r="A98" i="27"/>
  <c r="R88" i="27" l="1"/>
  <c r="A87" i="27"/>
  <c r="A99" i="27"/>
  <c r="A88" i="27" l="1"/>
  <c r="R89" i="27"/>
  <c r="A100" i="27"/>
  <c r="A89" i="27" l="1"/>
  <c r="R90" i="27"/>
  <c r="A101" i="27"/>
  <c r="A90" i="27" l="1"/>
  <c r="R91" i="27"/>
  <c r="R92" i="27" l="1"/>
  <c r="A91" i="27"/>
  <c r="R93" i="27" l="1"/>
  <c r="A92" i="27"/>
  <c r="A93" i="27" l="1"/>
  <c r="R94" i="27"/>
  <c r="R95" i="27" l="1"/>
  <c r="A94" i="27"/>
  <c r="R96" i="27" l="1"/>
  <c r="A95" i="27"/>
  <c r="A96" i="27" l="1"/>
  <c r="R97" i="27"/>
  <c r="R98" i="27" l="1"/>
  <c r="R99" i="27" s="1"/>
  <c r="R100" i="27" s="1"/>
  <c r="R101" i="27" s="1"/>
  <c r="R102" i="27" s="1"/>
  <c r="R103" i="27" s="1"/>
  <c r="R104" i="27" s="1"/>
  <c r="R105" i="27" s="1"/>
  <c r="R106" i="27" s="1"/>
  <c r="R107" i="27" s="1"/>
  <c r="R108" i="27" s="1"/>
  <c r="R109" i="27" s="1"/>
  <c r="R110" i="27" s="1"/>
  <c r="R111" i="27" s="1"/>
  <c r="A97" i="2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<sst xmlns="http://schemas.openxmlformats.org/spreadsheetml/2006/main" count="1106" uniqueCount="422">
  <si>
    <t>日時</t>
    <rPh sb="0" eb="2">
      <t>ニチジ</t>
    </rPh>
    <phoneticPr fontId="3"/>
  </si>
  <si>
    <t>版</t>
    <rPh sb="0" eb="1">
      <t>ハン</t>
    </rPh>
    <phoneticPr fontId="3"/>
  </si>
  <si>
    <t>作業者</t>
    <rPh sb="0" eb="3">
      <t>サギョウシャ</t>
    </rPh>
    <phoneticPr fontId="3"/>
  </si>
  <si>
    <t>変更内容</t>
    <rPh sb="0" eb="2">
      <t>ヘンコウ</t>
    </rPh>
    <rPh sb="2" eb="4">
      <t>ナイヨウ</t>
    </rPh>
    <phoneticPr fontId="3"/>
  </si>
  <si>
    <t>No</t>
    <phoneticPr fontId="3"/>
  </si>
  <si>
    <t>大項目</t>
    <rPh sb="0" eb="3">
      <t>ダイコウモク</t>
    </rPh>
    <phoneticPr fontId="3"/>
  </si>
  <si>
    <t>中項目</t>
    <rPh sb="0" eb="1">
      <t>チュウ</t>
    </rPh>
    <rPh sb="1" eb="3">
      <t>コウモク</t>
    </rPh>
    <phoneticPr fontId="3"/>
  </si>
  <si>
    <t>小項目</t>
    <rPh sb="0" eb="3">
      <t>ショウコウモク</t>
    </rPh>
    <phoneticPr fontId="3"/>
  </si>
  <si>
    <t>試験日</t>
    <rPh sb="0" eb="3">
      <t>シケンビ</t>
    </rPh>
    <phoneticPr fontId="3"/>
  </si>
  <si>
    <t>試験者</t>
    <rPh sb="0" eb="2">
      <t>シケン</t>
    </rPh>
    <rPh sb="2" eb="3">
      <t>シャ</t>
    </rPh>
    <phoneticPr fontId="3"/>
  </si>
  <si>
    <t>試験結果</t>
    <rPh sb="0" eb="2">
      <t>シケン</t>
    </rPh>
    <rPh sb="2" eb="4">
      <t>ケッカ</t>
    </rPh>
    <phoneticPr fontId="3"/>
  </si>
  <si>
    <t>全ページ</t>
    <rPh sb="0" eb="1">
      <t>ゼン</t>
    </rPh>
    <phoneticPr fontId="3"/>
  </si>
  <si>
    <t>新規改定</t>
    <rPh sb="0" eb="2">
      <t>シンキ</t>
    </rPh>
    <rPh sb="2" eb="4">
      <t>カイテイ</t>
    </rPh>
    <phoneticPr fontId="3"/>
  </si>
  <si>
    <t>大番号</t>
    <rPh sb="0" eb="3">
      <t>ダイバンゴウ</t>
    </rPh>
    <phoneticPr fontId="3"/>
  </si>
  <si>
    <t>中番号</t>
    <rPh sb="0" eb="1">
      <t>チュウ</t>
    </rPh>
    <rPh sb="1" eb="3">
      <t>バンゴウ</t>
    </rPh>
    <phoneticPr fontId="3"/>
  </si>
  <si>
    <t>小番号</t>
    <rPh sb="0" eb="3">
      <t>ショウバンゴウ</t>
    </rPh>
    <phoneticPr fontId="3"/>
  </si>
  <si>
    <t>シート番号</t>
    <rPh sb="3" eb="5">
      <t>バンゴウ</t>
    </rPh>
    <phoneticPr fontId="3"/>
  </si>
  <si>
    <t>備考</t>
    <rPh sb="0" eb="2">
      <t>ビコウ</t>
    </rPh>
    <phoneticPr fontId="3"/>
  </si>
  <si>
    <t>重複項目</t>
    <rPh sb="0" eb="2">
      <t>チョウフク</t>
    </rPh>
    <rPh sb="2" eb="4">
      <t>コウモク</t>
    </rPh>
    <phoneticPr fontId="3"/>
  </si>
  <si>
    <t>全項目数</t>
    <phoneticPr fontId="3"/>
  </si>
  <si>
    <t>実施済み</t>
    <rPh sb="0" eb="2">
      <t>ジッシ</t>
    </rPh>
    <rPh sb="2" eb="3">
      <t>ズ</t>
    </rPh>
    <phoneticPr fontId="3"/>
  </si>
  <si>
    <t>未実施</t>
    <rPh sb="0" eb="3">
      <t>ミジッシ</t>
    </rPh>
    <phoneticPr fontId="3"/>
  </si>
  <si>
    <t>計</t>
    <rPh sb="0" eb="1">
      <t>ケイ</t>
    </rPh>
    <phoneticPr fontId="3"/>
  </si>
  <si>
    <t>集計</t>
    <rPh sb="0" eb="2">
      <t>シュウケイ</t>
    </rPh>
    <phoneticPr fontId="3"/>
  </si>
  <si>
    <t>試験シート</t>
    <rPh sb="0" eb="2">
      <t>シケン</t>
    </rPh>
    <phoneticPr fontId="3"/>
  </si>
  <si>
    <t>変更箇所</t>
    <rPh sb="0" eb="2">
      <t>ヘンコウ</t>
    </rPh>
    <rPh sb="2" eb="4">
      <t>カショ</t>
    </rPh>
    <phoneticPr fontId="3"/>
  </si>
  <si>
    <t>試験種別</t>
    <rPh sb="0" eb="2">
      <t>シケン</t>
    </rPh>
    <rPh sb="2" eb="4">
      <t>シュベツ</t>
    </rPh>
    <phoneticPr fontId="3"/>
  </si>
  <si>
    <t>試験項目数内訳</t>
    <rPh sb="0" eb="2">
      <t>シケン</t>
    </rPh>
    <rPh sb="2" eb="4">
      <t>コウモク</t>
    </rPh>
    <rPh sb="4" eb="5">
      <t>スウ</t>
    </rPh>
    <rPh sb="5" eb="7">
      <t>ウチワケ</t>
    </rPh>
    <phoneticPr fontId="3"/>
  </si>
  <si>
    <t>全項目数</t>
    <rPh sb="0" eb="1">
      <t>ゼン</t>
    </rPh>
    <rPh sb="1" eb="4">
      <t>コウモクスウ</t>
    </rPh>
    <phoneticPr fontId="3"/>
  </si>
  <si>
    <t>正常</t>
    <phoneticPr fontId="3"/>
  </si>
  <si>
    <t>準正常</t>
    <phoneticPr fontId="3"/>
  </si>
  <si>
    <t>異常</t>
    <rPh sb="0" eb="2">
      <t>イジョウ</t>
    </rPh>
    <phoneticPr fontId="3"/>
  </si>
  <si>
    <t>優先度</t>
    <rPh sb="0" eb="3">
      <t>ユウセンド</t>
    </rPh>
    <phoneticPr fontId="3"/>
  </si>
  <si>
    <t>OK, NG</t>
    <phoneticPr fontId="3"/>
  </si>
  <si>
    <t>α</t>
    <phoneticPr fontId="3"/>
  </si>
  <si>
    <t>A</t>
    <phoneticPr fontId="3"/>
  </si>
  <si>
    <t>B</t>
    <phoneticPr fontId="3"/>
  </si>
  <si>
    <t>C</t>
    <phoneticPr fontId="3"/>
  </si>
  <si>
    <t>確認内容</t>
    <rPh sb="0" eb="4">
      <t>カクニンナイヨウ</t>
    </rPh>
    <phoneticPr fontId="3"/>
  </si>
  <si>
    <t>確認手順</t>
    <rPh sb="0" eb="2">
      <t>カクニン</t>
    </rPh>
    <rPh sb="2" eb="4">
      <t>テジュン</t>
    </rPh>
    <phoneticPr fontId="3"/>
  </si>
  <si>
    <t>1.結合試験</t>
    <rPh sb="2" eb="4">
      <t>ケツゴウ</t>
    </rPh>
    <rPh sb="4" eb="6">
      <t>シケン</t>
    </rPh>
    <phoneticPr fontId="3"/>
  </si>
  <si>
    <t>結合試験項目書</t>
    <rPh sb="0" eb="2">
      <t>ケツゴウ</t>
    </rPh>
    <rPh sb="2" eb="4">
      <t>シケン</t>
    </rPh>
    <rPh sb="4" eb="6">
      <t>コウモク</t>
    </rPh>
    <phoneticPr fontId="3"/>
  </si>
  <si>
    <t>No</t>
    <phoneticPr fontId="3"/>
  </si>
  <si>
    <t>精度閾値を超過した値を入力する</t>
  </si>
  <si>
    <t>準正常</t>
  </si>
  <si>
    <t>正常</t>
  </si>
  <si>
    <t>※1 配列に格納された空間IDの順番は不定</t>
    <rPh sb="3" eb="5">
      <t>ハイレツ</t>
    </rPh>
    <rPh sb="6" eb="8">
      <t>カクノウ</t>
    </rPh>
    <rPh sb="11" eb="13">
      <t>クウカン</t>
    </rPh>
    <rPh sb="16" eb="18">
      <t>ジュンバン</t>
    </rPh>
    <rPh sb="19" eb="21">
      <t>フテイ</t>
    </rPh>
    <phoneticPr fontId="3"/>
  </si>
  <si>
    <t>精度変換</t>
    <rPh sb="0" eb="2">
      <t>セイド</t>
    </rPh>
    <rPh sb="2" eb="4">
      <t>ヘンカン</t>
    </rPh>
    <phoneticPr fontId="3"/>
  </si>
  <si>
    <t>パラメータ入力チェック(拡張空間ID)</t>
  </si>
  <si>
    <t>パラメータ入力チェック(拡張空間ID)</t>
    <phoneticPr fontId="3"/>
  </si>
  <si>
    <t>精度変換の試験パターンの網羅(拡張空間ID)</t>
  </si>
  <si>
    <t>精度変換の試験パターンの網羅(拡張空間ID)</t>
    <phoneticPr fontId="3"/>
  </si>
  <si>
    <t>精度閾値を超過した値を入力する</t>
    <phoneticPr fontId="3"/>
  </si>
  <si>
    <t>拡張空間IDフォーマット不正の拡張空間IDが入力される</t>
  </si>
  <si>
    <t>変換前後の水平/垂直方向精度差のパターン</t>
  </si>
  <si>
    <t>変換前後の水平/垂直方向精度差のパターン</t>
    <phoneticPr fontId="3"/>
  </si>
  <si>
    <t>変換前拡張空間IDを1つ入力</t>
  </si>
  <si>
    <t>変換前拡張空間IDを複数入力</t>
  </si>
  <si>
    <t>変換前拡張空間IDの精度を変えても精度変換結果が取得できる</t>
  </si>
  <si>
    <t>変換前拡張空間IDの精度における最大/最小の拡張空間ID入力</t>
  </si>
  <si>
    <t>変換前拡張空間IDの精度における最大/最小の拡張空間ID入力</t>
    <phoneticPr fontId="3"/>
  </si>
  <si>
    <t>変換後の精度よりも大きい精度、小さい精度、等しい精度の拡張空間IDを同時に入力</t>
  </si>
  <si>
    <t>変換後拡張空間IDに重複が発生する変換前拡張空間IDを入力</t>
  </si>
  <si>
    <t>変換後拡張空間IDに重複が発生する変換前拡張空間IDを入力</t>
    <phoneticPr fontId="3"/>
  </si>
  <si>
    <t>精度を上げた場合</t>
    <rPh sb="0" eb="2">
      <t>セイド</t>
    </rPh>
    <rPh sb="3" eb="4">
      <t>ア</t>
    </rPh>
    <rPh sb="6" eb="8">
      <t>バアイ</t>
    </rPh>
    <phoneticPr fontId="3"/>
  </si>
  <si>
    <t>精度を下げた場合</t>
    <rPh sb="0" eb="2">
      <t>セイド</t>
    </rPh>
    <rPh sb="3" eb="4">
      <t>サ</t>
    </rPh>
    <rPh sb="6" eb="8">
      <t>バアイ</t>
    </rPh>
    <phoneticPr fontId="3"/>
  </si>
  <si>
    <t>変換後拡張空間IDに重複が発生しない変換前拡張空間IDを入力</t>
  </si>
  <si>
    <t>変換で精度を減少させた際に変換前拡張空間IDが変換後の拡張空間IDの角に接するようなIDを入力</t>
  </si>
  <si>
    <t>パラメータ入力チェック(空間ID)</t>
  </si>
  <si>
    <t>精度変換の試験パターンの網羅(空間ID)</t>
  </si>
  <si>
    <t>変換前後の精度差のパターン</t>
  </si>
  <si>
    <t>変換前空間IDを1つ入力</t>
  </si>
  <si>
    <t>変換前空間IDを複数入力</t>
  </si>
  <si>
    <t>変換前空間IDの精度を変えても精度変換結果が取得できる</t>
  </si>
  <si>
    <t>変換前空間IDの精度における最大/最小の空間ID入力</t>
  </si>
  <si>
    <t>変換後の精度よりも大きい精度、小さい精度、等しい精度の空間IDを同時に入力</t>
  </si>
  <si>
    <t>変換後空間IDに重複が発生する変換前空間IDを入力</t>
  </si>
  <si>
    <t>変換後空間IDに重複が発生しない変換前空間IDを入力</t>
  </si>
  <si>
    <t>変換後精度の最大値/最小値を入力</t>
  </si>
  <si>
    <t>変換後精度の最大値/最小値を入力</t>
    <phoneticPr fontId="3"/>
  </si>
  <si>
    <t>変換で精度を減少させた際に変換前空間IDが変換後の空間IDの角に接するようなIDを入力</t>
  </si>
  <si>
    <t>区切り文字不足： 3個以下</t>
    <rPh sb="0" eb="2">
      <t>クギ</t>
    </rPh>
    <rPh sb="3" eb="7">
      <t>モジフソク</t>
    </rPh>
    <rPh sb="10" eb="13">
      <t>コイカ</t>
    </rPh>
    <phoneticPr fontId="3"/>
  </si>
  <si>
    <t>区切り文字過多： 5個以上</t>
    <rPh sb="0" eb="2">
      <t>クギ</t>
    </rPh>
    <rPh sb="3" eb="5">
      <t>モジ</t>
    </rPh>
    <rPh sb="5" eb="7">
      <t>カタ</t>
    </rPh>
    <rPh sb="10" eb="13">
      <t>コイジョウ</t>
    </rPh>
    <phoneticPr fontId="3"/>
  </si>
  <si>
    <t>利用不可の文字を含む</t>
    <rPh sb="0" eb="4">
      <t>リヨウフカ</t>
    </rPh>
    <rPh sb="5" eb="7">
      <t>モジ</t>
    </rPh>
    <rPh sb="8" eb="9">
      <t>フク</t>
    </rPh>
    <phoneticPr fontId="3"/>
  </si>
  <si>
    <t>水平精度インデクス値無し</t>
    <rPh sb="0" eb="4">
      <t>スイヘイセイド</t>
    </rPh>
    <rPh sb="9" eb="10">
      <t>アタイ</t>
    </rPh>
    <rPh sb="10" eb="11">
      <t>ナ</t>
    </rPh>
    <phoneticPr fontId="3"/>
  </si>
  <si>
    <t>垂直精度インデクス値無し</t>
    <rPh sb="0" eb="2">
      <t>スイチョク</t>
    </rPh>
    <rPh sb="2" eb="4">
      <t>セイド</t>
    </rPh>
    <rPh sb="9" eb="10">
      <t>アタイ</t>
    </rPh>
    <rPh sb="10" eb="11">
      <t>ナ</t>
    </rPh>
    <phoneticPr fontId="3"/>
  </si>
  <si>
    <t>経度インデクス値無し</t>
    <rPh sb="0" eb="2">
      <t>ケイド</t>
    </rPh>
    <rPh sb="7" eb="8">
      <t>アタイ</t>
    </rPh>
    <rPh sb="8" eb="9">
      <t>ナ</t>
    </rPh>
    <phoneticPr fontId="3"/>
  </si>
  <si>
    <t>緯度インデクス値無し</t>
    <rPh sb="0" eb="2">
      <t>イド</t>
    </rPh>
    <rPh sb="7" eb="8">
      <t>アタイ</t>
    </rPh>
    <rPh sb="8" eb="9">
      <t>ナ</t>
    </rPh>
    <phoneticPr fontId="3"/>
  </si>
  <si>
    <t>高さインデクス値無し</t>
    <rPh sb="0" eb="1">
      <t>タカ</t>
    </rPh>
    <rPh sb="7" eb="8">
      <t>アタイ</t>
    </rPh>
    <rPh sb="8" eb="9">
      <t>ナ</t>
    </rPh>
    <phoneticPr fontId="3"/>
  </si>
  <si>
    <t>水平方向精度: 増加
垂直方向精度: 増加</t>
    <rPh sb="0" eb="6">
      <t>スイヘイホウコウセイド</t>
    </rPh>
    <rPh sb="8" eb="10">
      <t>ゾウカ</t>
    </rPh>
    <rPh sb="11" eb="17">
      <t>スイチョクホウコウセイド</t>
    </rPh>
    <rPh sb="19" eb="21">
      <t>ゾウカ</t>
    </rPh>
    <phoneticPr fontId="3"/>
  </si>
  <si>
    <t>水平方向精度: 減少
垂直方向精度: 増加</t>
    <rPh sb="0" eb="6">
      <t>スイヘイホウコウセイド</t>
    </rPh>
    <rPh sb="8" eb="10">
      <t>ゲンショウ</t>
    </rPh>
    <rPh sb="11" eb="17">
      <t>スイチョクホウコウセイド</t>
    </rPh>
    <rPh sb="19" eb="21">
      <t>ゾウカ</t>
    </rPh>
    <phoneticPr fontId="3"/>
  </si>
  <si>
    <t>水平方向精度: 変更なし
垂直方向精度: 増加</t>
    <rPh sb="0" eb="6">
      <t>スイヘイホウコウセイド</t>
    </rPh>
    <rPh sb="8" eb="10">
      <t>ヘンコウ</t>
    </rPh>
    <rPh sb="13" eb="19">
      <t>スイチョクホウコウセイド</t>
    </rPh>
    <rPh sb="21" eb="23">
      <t>ゾウカ</t>
    </rPh>
    <phoneticPr fontId="3"/>
  </si>
  <si>
    <t>水平方向精度: 増加
垂直方向精度: 減少</t>
    <rPh sb="0" eb="6">
      <t>スイヘイホウコウセイド</t>
    </rPh>
    <rPh sb="8" eb="10">
      <t>ゾウカ</t>
    </rPh>
    <rPh sb="11" eb="17">
      <t>スイチョクホウコウセイド</t>
    </rPh>
    <rPh sb="19" eb="21">
      <t>ゲンショウ</t>
    </rPh>
    <phoneticPr fontId="3"/>
  </si>
  <si>
    <t>水平方向精度: 減少
垂直方向精度: 減少</t>
    <rPh sb="0" eb="6">
      <t>スイヘイホウコウセイド</t>
    </rPh>
    <rPh sb="8" eb="10">
      <t>ゲンショウ</t>
    </rPh>
    <rPh sb="11" eb="17">
      <t>スイチョクホウコウセイド</t>
    </rPh>
    <rPh sb="19" eb="21">
      <t>ゲンショウ</t>
    </rPh>
    <phoneticPr fontId="3"/>
  </si>
  <si>
    <t>水平方向精度: 変更なし
垂直方向精度: 減少</t>
    <rPh sb="0" eb="6">
      <t>スイヘイホウコウセイド</t>
    </rPh>
    <rPh sb="13" eb="19">
      <t>スイチョクホウコウセイド</t>
    </rPh>
    <rPh sb="21" eb="23">
      <t>ゲンショウ</t>
    </rPh>
    <phoneticPr fontId="3"/>
  </si>
  <si>
    <t>水平方向精度: 増加
垂直方向精度: 変更なし</t>
    <rPh sb="0" eb="6">
      <t>スイヘイホウコウセイド</t>
    </rPh>
    <rPh sb="8" eb="10">
      <t>ゾウカ</t>
    </rPh>
    <rPh sb="11" eb="17">
      <t>スイチョクホウコウセイド</t>
    </rPh>
    <rPh sb="19" eb="21">
      <t>ヘンコウ</t>
    </rPh>
    <phoneticPr fontId="3"/>
  </si>
  <si>
    <t>水平方向精度: 減少
垂直方向精度: 変更なし</t>
    <rPh sb="0" eb="6">
      <t>スイヘイホウコウセイド</t>
    </rPh>
    <rPh sb="8" eb="10">
      <t>ゲンショウ</t>
    </rPh>
    <rPh sb="11" eb="17">
      <t>スイチョクホウコウセイド</t>
    </rPh>
    <rPh sb="19" eb="21">
      <t>ヘンコウ</t>
    </rPh>
    <phoneticPr fontId="3"/>
  </si>
  <si>
    <t>水平方向精度: 変更なし
垂直方向精度: 変更なし</t>
    <rPh sb="0" eb="6">
      <t>スイヘイホウコウセイド</t>
    </rPh>
    <rPh sb="13" eb="19">
      <t>スイチョクホウコウセイド</t>
    </rPh>
    <rPh sb="21" eb="23">
      <t>ヘンコウ</t>
    </rPh>
    <phoneticPr fontId="3"/>
  </si>
  <si>
    <t>-</t>
    <phoneticPr fontId="3"/>
  </si>
  <si>
    <t>入力数：2</t>
    <rPh sb="0" eb="2">
      <t>ニュウリョク</t>
    </rPh>
    <rPh sb="2" eb="3">
      <t>スウ</t>
    </rPh>
    <phoneticPr fontId="3"/>
  </si>
  <si>
    <t>入力数：10</t>
    <rPh sb="0" eb="2">
      <t>ニュウリョク</t>
    </rPh>
    <rPh sb="2" eb="3">
      <t>スウ</t>
    </rPh>
    <phoneticPr fontId="3"/>
  </si>
  <si>
    <t>底面左下</t>
    <rPh sb="0" eb="2">
      <t>テイメン</t>
    </rPh>
    <rPh sb="2" eb="4">
      <t>ヒダリシタ</t>
    </rPh>
    <phoneticPr fontId="3"/>
  </si>
  <si>
    <t>底面右下</t>
    <rPh sb="0" eb="2">
      <t>テイメン</t>
    </rPh>
    <rPh sb="2" eb="3">
      <t>ミギ</t>
    </rPh>
    <rPh sb="3" eb="4">
      <t>シタ</t>
    </rPh>
    <phoneticPr fontId="3"/>
  </si>
  <si>
    <t>底面左上</t>
    <rPh sb="0" eb="2">
      <t>テイメン</t>
    </rPh>
    <rPh sb="2" eb="4">
      <t>ヒダリウエ</t>
    </rPh>
    <phoneticPr fontId="3"/>
  </si>
  <si>
    <t>底面右上</t>
    <rPh sb="0" eb="2">
      <t>テイメン</t>
    </rPh>
    <rPh sb="2" eb="3">
      <t>ミギ</t>
    </rPh>
    <rPh sb="3" eb="4">
      <t>ウエ</t>
    </rPh>
    <phoneticPr fontId="3"/>
  </si>
  <si>
    <t>上面左下</t>
  </si>
  <si>
    <t>上面右下</t>
  </si>
  <si>
    <t>上面左上</t>
  </si>
  <si>
    <t>上面右上</t>
  </si>
  <si>
    <t>精度：36</t>
    <rPh sb="0" eb="2">
      <t>セイド</t>
    </rPh>
    <phoneticPr fontId="3"/>
  </si>
  <si>
    <t>精度：-1</t>
    <rPh sb="0" eb="2">
      <t>セイド</t>
    </rPh>
    <phoneticPr fontId="3"/>
  </si>
  <si>
    <t>区切り文字不足： 2個以下</t>
    <rPh sb="0" eb="2">
      <t>クギ</t>
    </rPh>
    <rPh sb="3" eb="7">
      <t>モジフソク</t>
    </rPh>
    <rPh sb="10" eb="13">
      <t>コイカ</t>
    </rPh>
    <phoneticPr fontId="3"/>
  </si>
  <si>
    <t>区切り文字過多： 4個以上</t>
    <rPh sb="0" eb="2">
      <t>クギ</t>
    </rPh>
    <rPh sb="3" eb="5">
      <t>モジ</t>
    </rPh>
    <rPh sb="5" eb="7">
      <t>カタ</t>
    </rPh>
    <rPh sb="10" eb="13">
      <t>コイジョウ</t>
    </rPh>
    <phoneticPr fontId="3"/>
  </si>
  <si>
    <t>精度インデクス値無し</t>
    <rPh sb="0" eb="2">
      <t>セイド</t>
    </rPh>
    <rPh sb="7" eb="8">
      <t>アタイ</t>
    </rPh>
    <rPh sb="8" eb="9">
      <t>ナ</t>
    </rPh>
    <phoneticPr fontId="3"/>
  </si>
  <si>
    <t>経度インデクス値最小</t>
    <rPh sb="8" eb="10">
      <t>サイショウ</t>
    </rPh>
    <phoneticPr fontId="3"/>
  </si>
  <si>
    <t>経度インデクス値最大</t>
    <rPh sb="8" eb="10">
      <t>サイダイ</t>
    </rPh>
    <phoneticPr fontId="3"/>
  </si>
  <si>
    <t>緯度インデクス値最小</t>
    <rPh sb="8" eb="10">
      <t>サイショウ</t>
    </rPh>
    <phoneticPr fontId="3"/>
  </si>
  <si>
    <t>緯度インデクス値最大</t>
    <rPh sb="8" eb="10">
      <t>サイダイ</t>
    </rPh>
    <phoneticPr fontId="3"/>
  </si>
  <si>
    <t>高さインデクス値最小</t>
    <rPh sb="8" eb="10">
      <t>サイショウ</t>
    </rPh>
    <phoneticPr fontId="3"/>
  </si>
  <si>
    <t>高さインデクス値最大</t>
    <rPh sb="8" eb="10">
      <t>サイダイ</t>
    </rPh>
    <phoneticPr fontId="3"/>
  </si>
  <si>
    <t>精度：増加</t>
    <rPh sb="0" eb="2">
      <t>セイド</t>
    </rPh>
    <rPh sb="3" eb="5">
      <t>ゾウカ</t>
    </rPh>
    <phoneticPr fontId="3"/>
  </si>
  <si>
    <t>精度：減少</t>
    <rPh sb="0" eb="2">
      <t>セイド</t>
    </rPh>
    <rPh sb="3" eb="5">
      <t>ゲンショウ</t>
    </rPh>
    <phoneticPr fontId="3"/>
  </si>
  <si>
    <t>精度：変更なし</t>
    <rPh sb="0" eb="2">
      <t>セイド</t>
    </rPh>
    <rPh sb="3" eb="5">
      <t>ヘンコウ</t>
    </rPh>
    <phoneticPr fontId="3"/>
  </si>
  <si>
    <t>変換後水平方向精度：0</t>
    <rPh sb="0" eb="3">
      <t>ヘンカンゴ</t>
    </rPh>
    <rPh sb="3" eb="9">
      <t>スイヘイホウコウセイド</t>
    </rPh>
    <phoneticPr fontId="3"/>
  </si>
  <si>
    <t>変換後水平方向精度：35</t>
    <rPh sb="3" eb="9">
      <t>スイヘイホウコウセイド</t>
    </rPh>
    <phoneticPr fontId="3"/>
  </si>
  <si>
    <t>変換後垂直方向精度：0</t>
    <rPh sb="3" eb="5">
      <t>スイチョク</t>
    </rPh>
    <rPh sb="5" eb="7">
      <t>ホウコウ</t>
    </rPh>
    <rPh sb="7" eb="9">
      <t>セイド</t>
    </rPh>
    <phoneticPr fontId="3"/>
  </si>
  <si>
    <t>変換後垂直方向精度：35</t>
    <rPh sb="3" eb="5">
      <t>スイチョク</t>
    </rPh>
    <rPh sb="5" eb="7">
      <t>ホウコウ</t>
    </rPh>
    <rPh sb="7" eb="9">
      <t>セイド</t>
    </rPh>
    <phoneticPr fontId="3"/>
  </si>
  <si>
    <t>変換後精度：0</t>
    <rPh sb="3" eb="5">
      <t>セイド</t>
    </rPh>
    <phoneticPr fontId="3"/>
  </si>
  <si>
    <t>変換後精度：35</t>
    <rPh sb="3" eb="5">
      <t>セイド</t>
    </rPh>
    <phoneticPr fontId="3"/>
  </si>
  <si>
    <t>変換前精度：0
変換後精度：1</t>
    <rPh sb="0" eb="3">
      <t>ヘンカンマエ</t>
    </rPh>
    <rPh sb="3" eb="5">
      <t>セイド</t>
    </rPh>
    <rPh sb="11" eb="13">
      <t>セイド</t>
    </rPh>
    <phoneticPr fontId="3"/>
  </si>
  <si>
    <t>変換前水平方向精度：0
変換後水平方向精度：1</t>
    <rPh sb="0" eb="3">
      <t>ヘンカンマエ</t>
    </rPh>
    <rPh sb="3" eb="9">
      <t>スイヘイホウコウセイド</t>
    </rPh>
    <rPh sb="12" eb="15">
      <t>ヘンカンゴ</t>
    </rPh>
    <rPh sb="15" eb="17">
      <t>スイヘイ</t>
    </rPh>
    <rPh sb="17" eb="19">
      <t>ホウコウ</t>
    </rPh>
    <rPh sb="19" eb="21">
      <t>セイド</t>
    </rPh>
    <phoneticPr fontId="3"/>
  </si>
  <si>
    <t>変換前水平方向精度：35
変換後水平方向精度：34</t>
    <rPh sb="3" eb="9">
      <t>スイヘイホウコウセイド</t>
    </rPh>
    <rPh sb="13" eb="16">
      <t>ヘンカンゴ</t>
    </rPh>
    <rPh sb="16" eb="18">
      <t>スイヘイ</t>
    </rPh>
    <rPh sb="18" eb="20">
      <t>ホウコウ</t>
    </rPh>
    <rPh sb="20" eb="22">
      <t>セイド</t>
    </rPh>
    <phoneticPr fontId="3"/>
  </si>
  <si>
    <t>変換前垂直方向精度：0
変換後垂直方向精度：1</t>
    <rPh sb="3" eb="5">
      <t>スイチョク</t>
    </rPh>
    <rPh sb="5" eb="7">
      <t>ホウコウ</t>
    </rPh>
    <rPh sb="7" eb="9">
      <t>セイド</t>
    </rPh>
    <rPh sb="12" eb="15">
      <t>ヘンカンゴ</t>
    </rPh>
    <rPh sb="15" eb="17">
      <t>スイチョク</t>
    </rPh>
    <rPh sb="17" eb="19">
      <t>ホウコウ</t>
    </rPh>
    <rPh sb="19" eb="21">
      <t>セイド</t>
    </rPh>
    <phoneticPr fontId="3"/>
  </si>
  <si>
    <t>変換前垂直方向精度：35
変換後垂直方向精度：34</t>
    <rPh sb="3" eb="5">
      <t>スイチョク</t>
    </rPh>
    <rPh sb="5" eb="7">
      <t>ホウコウ</t>
    </rPh>
    <rPh sb="7" eb="9">
      <t>セイド</t>
    </rPh>
    <rPh sb="13" eb="16">
      <t>ヘンカンゴ</t>
    </rPh>
    <rPh sb="16" eb="18">
      <t>スイチョク</t>
    </rPh>
    <rPh sb="18" eb="20">
      <t>ホウコウ</t>
    </rPh>
    <rPh sb="20" eb="22">
      <t>セイド</t>
    </rPh>
    <phoneticPr fontId="3"/>
  </si>
  <si>
    <t>変換前精度：35
変換後精度：34</t>
    <rPh sb="3" eb="5">
      <t>セイド</t>
    </rPh>
    <rPh sb="11" eb="12">
      <t>アト</t>
    </rPh>
    <phoneticPr fontId="3"/>
  </si>
  <si>
    <t>■ 変換前後の精度差 試験データパターン</t>
    <rPh sb="2" eb="6">
      <t>ヘンカンゼンゴ</t>
    </rPh>
    <rPh sb="7" eb="10">
      <t>セイドサ</t>
    </rPh>
    <rPh sb="11" eb="13">
      <t>シケン</t>
    </rPh>
    <phoneticPr fontId="32"/>
  </si>
  <si>
    <t>変換前後の精度差パターン</t>
    <rPh sb="0" eb="4">
      <t>ヘンカンゼンゴ</t>
    </rPh>
    <rPh sb="5" eb="7">
      <t>セイド</t>
    </rPh>
    <rPh sb="7" eb="8">
      <t>サ</t>
    </rPh>
    <phoneticPr fontId="3"/>
  </si>
  <si>
    <t>変換元として入力する"拡張空間ID"、"変換後の水平/垂直方向精度"及び、精度変換時に取得される期待値を以下に記載する。</t>
    <rPh sb="0" eb="3">
      <t>ヘンカンモト</t>
    </rPh>
    <rPh sb="6" eb="8">
      <t>ニュウリョク</t>
    </rPh>
    <rPh sb="11" eb="13">
      <t>カクチョウ</t>
    </rPh>
    <rPh sb="13" eb="15">
      <t>クウカン</t>
    </rPh>
    <rPh sb="20" eb="22">
      <t>ヘンカン</t>
    </rPh>
    <rPh sb="22" eb="23">
      <t>ゴ</t>
    </rPh>
    <rPh sb="24" eb="26">
      <t>スイヘイ</t>
    </rPh>
    <rPh sb="27" eb="33">
      <t>スイチョクホウコウセイド</t>
    </rPh>
    <rPh sb="34" eb="35">
      <t>オヨ</t>
    </rPh>
    <rPh sb="37" eb="42">
      <t>セイドヘンカンジ</t>
    </rPh>
    <rPh sb="43" eb="45">
      <t>シュトク</t>
    </rPh>
    <rPh sb="48" eb="51">
      <t>キタイアタイ</t>
    </rPh>
    <rPh sb="52" eb="54">
      <t>イカ</t>
    </rPh>
    <rPh sb="55" eb="57">
      <t>キサイ</t>
    </rPh>
    <phoneticPr fontId="3"/>
  </si>
  <si>
    <t>変換前拡張空間ID</t>
    <rPh sb="0" eb="3">
      <t>ヘンカンマエ</t>
    </rPh>
    <rPh sb="3" eb="7">
      <t>カクチョウクウカン</t>
    </rPh>
    <phoneticPr fontId="3"/>
  </si>
  <si>
    <t>変換後水平方向精度</t>
    <phoneticPr fontId="3"/>
  </si>
  <si>
    <t>変換後水平方向精度</t>
    <rPh sb="0" eb="3">
      <t>ヘンカンアト</t>
    </rPh>
    <rPh sb="3" eb="9">
      <t>スイヘイホウコウセイド</t>
    </rPh>
    <phoneticPr fontId="3"/>
  </si>
  <si>
    <t>試験実施時は以下に記載する入力値をAPIの引数に入力し、取得された値が期待値と同じであることを確認する。</t>
    <phoneticPr fontId="3"/>
  </si>
  <si>
    <t>精度変換APIによる精度変換の仕様について以下に記載する。</t>
    <rPh sb="0" eb="4">
      <t>セイドヘンカン</t>
    </rPh>
    <rPh sb="10" eb="14">
      <t>セイドヘンカン</t>
    </rPh>
    <rPh sb="15" eb="17">
      <t>シヨウ</t>
    </rPh>
    <rPh sb="21" eb="23">
      <t>イカ</t>
    </rPh>
    <rPh sb="24" eb="26">
      <t>キサイ</t>
    </rPh>
    <phoneticPr fontId="3"/>
  </si>
  <si>
    <t>試験用の入力値、期待値を作成する際は、以下の情報を参考にデータを作成する。</t>
    <rPh sb="0" eb="3">
      <t>シケンヨウ</t>
    </rPh>
    <rPh sb="4" eb="7">
      <t>ニュウリョクアタイ</t>
    </rPh>
    <rPh sb="8" eb="11">
      <t>キタイアタイ</t>
    </rPh>
    <rPh sb="12" eb="14">
      <t>サクセイ</t>
    </rPh>
    <rPh sb="16" eb="17">
      <t>サイ</t>
    </rPh>
    <rPh sb="19" eb="21">
      <t>イカ</t>
    </rPh>
    <rPh sb="22" eb="24">
      <t>ジョウホウ</t>
    </rPh>
    <rPh sb="25" eb="27">
      <t>サンコウ</t>
    </rPh>
    <rPh sb="32" eb="34">
      <t>サクセイ</t>
    </rPh>
    <phoneticPr fontId="3"/>
  </si>
  <si>
    <t>◆拡張空間IDにおける精度を上げる場合</t>
  </si>
  <si>
    <t>　水平精度が1上がるごとに経度ID、緯度IDがそれぞれ2のべき乗で増加する。</t>
  </si>
  <si>
    <t>　垂直方向精度が1上がるごとに、高さIDが2のべき乗で増加する。</t>
  </si>
  <si>
    <t>　例)水平方向精度を2増加させる場合</t>
  </si>
  <si>
    <t>　　〇入力値</t>
  </si>
  <si>
    <t>　　　変換前拡張空間ID　：10/20/20/10/20</t>
  </si>
  <si>
    <t>　　　変換後水平方向精度：12</t>
  </si>
  <si>
    <t>　　　変換後垂直方向精度：12</t>
  </si>
  <si>
    <t>　　〇変換後の拡張空間IDの成分</t>
  </si>
  <si>
    <t>　　　変換後最小の拡張空間ID：12/80/80/12/80</t>
  </si>
  <si>
    <t>　　　変換後最大の拡張空間ID：12/83/83/12/83</t>
  </si>
  <si>
    <t>試験用データを作成する際は、上記の仕様を満たす入力値、期待値となるよう検討する。</t>
  </si>
  <si>
    <t>◆拡張空間IDにおける精度を下げる場合</t>
  </si>
  <si>
    <t>　水平精度が1下がるごとに経度ID、緯度IDがそれぞれ2のべき乗で除算した値となる。</t>
  </si>
  <si>
    <t>　垂直方向精度が1上がるごとに、高さIDが2のべき乗で除算した値となる。</t>
  </si>
  <si>
    <t>　例)水平方向精度を2減少させる場合</t>
  </si>
  <si>
    <t>　　　変換後水平方向精度：8</t>
  </si>
  <si>
    <t>　　　変換後垂直方向精度：8</t>
  </si>
  <si>
    <t>　　　変換後の拡張空間ID：8/5/5/8/5</t>
  </si>
  <si>
    <t>　　　変換前拡張空間ID　：10/20/20/10/20</t>
    <phoneticPr fontId="3"/>
  </si>
  <si>
    <t>10/20/20/10/20</t>
    <phoneticPr fontId="3"/>
  </si>
  <si>
    <t>期待値作成時の参考資料として、精度変換の仕様について"【参考】精度変換時の仕様"シートに記載している。</t>
    <rPh sb="0" eb="3">
      <t>キタイアタイ</t>
    </rPh>
    <rPh sb="3" eb="6">
      <t>サクセイジ</t>
    </rPh>
    <rPh sb="7" eb="11">
      <t>サンコウシリョウ</t>
    </rPh>
    <rPh sb="15" eb="19">
      <t>セイドヘンカン</t>
    </rPh>
    <rPh sb="20" eb="22">
      <t>シヨウ</t>
    </rPh>
    <rPh sb="44" eb="46">
      <t>キサイ</t>
    </rPh>
    <phoneticPr fontId="3"/>
  </si>
  <si>
    <t>〇拡張空間ID試験データ</t>
    <rPh sb="1" eb="5">
      <t>カクチョウクウカン</t>
    </rPh>
    <rPh sb="7" eb="9">
      <t>シケン</t>
    </rPh>
    <phoneticPr fontId="3"/>
  </si>
  <si>
    <t>〇空間ID試験データ</t>
    <rPh sb="1" eb="3">
      <t>クウカン</t>
    </rPh>
    <rPh sb="5" eb="7">
      <t>シケン</t>
    </rPh>
    <phoneticPr fontId="3"/>
  </si>
  <si>
    <t>変換元として入力する"空間ID"、"変換後の精度"及び、精度変換時に取得される期待値を以下に記載する。</t>
    <rPh sb="0" eb="3">
      <t>ヘンカンモト</t>
    </rPh>
    <rPh sb="6" eb="8">
      <t>ニュウリョク</t>
    </rPh>
    <rPh sb="11" eb="13">
      <t>クウカン</t>
    </rPh>
    <rPh sb="18" eb="20">
      <t>ヘンカン</t>
    </rPh>
    <rPh sb="20" eb="21">
      <t>ゴ</t>
    </rPh>
    <rPh sb="22" eb="24">
      <t>セイド</t>
    </rPh>
    <rPh sb="25" eb="26">
      <t>オヨ</t>
    </rPh>
    <rPh sb="28" eb="33">
      <t>セイドヘンカンジ</t>
    </rPh>
    <rPh sb="34" eb="36">
      <t>シュトク</t>
    </rPh>
    <rPh sb="39" eb="42">
      <t>キタイアタイ</t>
    </rPh>
    <rPh sb="43" eb="45">
      <t>イカ</t>
    </rPh>
    <rPh sb="46" eb="48">
      <t>キサイ</t>
    </rPh>
    <phoneticPr fontId="3"/>
  </si>
  <si>
    <t>10/20/20/20</t>
    <phoneticPr fontId="3"/>
  </si>
  <si>
    <t xml:space="preserve">精度: 増加
</t>
    <rPh sb="0" eb="2">
      <t>セイド</t>
    </rPh>
    <rPh sb="4" eb="6">
      <t>ゾウカ</t>
    </rPh>
    <phoneticPr fontId="3"/>
  </si>
  <si>
    <t xml:space="preserve">精度: 減少
</t>
    <rPh sb="0" eb="2">
      <t>セイド</t>
    </rPh>
    <rPh sb="4" eb="6">
      <t>ゲンショウ</t>
    </rPh>
    <phoneticPr fontId="3"/>
  </si>
  <si>
    <t xml:space="preserve">精度: 変更なし
</t>
    <rPh sb="0" eb="2">
      <t>セイド</t>
    </rPh>
    <rPh sb="4" eb="6">
      <t>ヘンコウ</t>
    </rPh>
    <phoneticPr fontId="3"/>
  </si>
  <si>
    <t>■ 変換前の空間ID 試験データパターン</t>
    <rPh sb="11" eb="13">
      <t>シケン</t>
    </rPh>
    <phoneticPr fontId="32"/>
  </si>
  <si>
    <t>精度変換前後の精度差に関する試験用データ</t>
    <rPh sb="0" eb="4">
      <t>セイドヘンカン</t>
    </rPh>
    <rPh sb="4" eb="6">
      <t>ゼンゴ</t>
    </rPh>
    <rPh sb="7" eb="9">
      <t>セイド</t>
    </rPh>
    <rPh sb="9" eb="10">
      <t>サ</t>
    </rPh>
    <rPh sb="11" eb="12">
      <t>カン</t>
    </rPh>
    <rPh sb="14" eb="17">
      <t>シケンヨウ</t>
    </rPh>
    <phoneticPr fontId="3"/>
  </si>
  <si>
    <t>精度変換前の空間IDの精度において、空間IDの各成分がとりうる最大/最小の値が設定された空間IDを入力する際の試験用データ</t>
    <rPh sb="0" eb="5">
      <t>セイドヘンカンマエ</t>
    </rPh>
    <rPh sb="6" eb="8">
      <t>クウカン</t>
    </rPh>
    <rPh sb="11" eb="13">
      <t>セイド</t>
    </rPh>
    <rPh sb="18" eb="20">
      <t>クウカン</t>
    </rPh>
    <rPh sb="23" eb="26">
      <t>カクセイブン</t>
    </rPh>
    <rPh sb="31" eb="33">
      <t>サイダイ</t>
    </rPh>
    <rPh sb="34" eb="36">
      <t>サイショウ</t>
    </rPh>
    <rPh sb="37" eb="38">
      <t>アタイ</t>
    </rPh>
    <rPh sb="39" eb="41">
      <t>セッテイ</t>
    </rPh>
    <rPh sb="44" eb="46">
      <t>クウカン</t>
    </rPh>
    <rPh sb="49" eb="51">
      <t>ニュウリョク</t>
    </rPh>
    <rPh sb="53" eb="54">
      <t>サイ</t>
    </rPh>
    <rPh sb="55" eb="57">
      <t>シケン</t>
    </rPh>
    <rPh sb="57" eb="58">
      <t>ヨウ</t>
    </rPh>
    <phoneticPr fontId="3"/>
  </si>
  <si>
    <t>10/1023/20/10/20</t>
    <phoneticPr fontId="3"/>
  </si>
  <si>
    <t>10/0/20/10/20</t>
    <phoneticPr fontId="3"/>
  </si>
  <si>
    <t>変換後精度</t>
    <phoneticPr fontId="3"/>
  </si>
  <si>
    <t>期待値作成時の参考資料として、精度の増減による空間IDの各成分の変化について"【参考】精度変換時の仕様"シートに記載している。</t>
    <rPh sb="0" eb="3">
      <t>キタイアタイ</t>
    </rPh>
    <rPh sb="3" eb="6">
      <t>サクセイジ</t>
    </rPh>
    <rPh sb="7" eb="11">
      <t>サンコウシリョウ</t>
    </rPh>
    <rPh sb="15" eb="17">
      <t>セイド</t>
    </rPh>
    <rPh sb="18" eb="20">
      <t>ゾウゲン</t>
    </rPh>
    <rPh sb="23" eb="25">
      <t>クウカン</t>
    </rPh>
    <rPh sb="28" eb="31">
      <t>カクセイブン</t>
    </rPh>
    <rPh sb="32" eb="34">
      <t>ヘンカ</t>
    </rPh>
    <rPh sb="56" eb="58">
      <t>キサイ</t>
    </rPh>
    <phoneticPr fontId="3"/>
  </si>
  <si>
    <t>■精度変換APIの仕様</t>
    <rPh sb="1" eb="3">
      <t>セイド</t>
    </rPh>
    <rPh sb="3" eb="5">
      <t>ヘンカン</t>
    </rPh>
    <rPh sb="9" eb="11">
      <t>シヨウ</t>
    </rPh>
    <phoneticPr fontId="3"/>
  </si>
  <si>
    <t>■精度の増減による拡張空間IDの各成分の変化について</t>
    <rPh sb="9" eb="11">
      <t>カクチョウ</t>
    </rPh>
    <phoneticPr fontId="3"/>
  </si>
  <si>
    <t>精度が増加する際に拡張空間IDの各成分の個数が増加する仕様について以下に記載する。</t>
    <rPh sb="0" eb="2">
      <t>セイド</t>
    </rPh>
    <rPh sb="3" eb="5">
      <t>ゾウカ</t>
    </rPh>
    <rPh sb="7" eb="8">
      <t>サイ</t>
    </rPh>
    <rPh sb="9" eb="11">
      <t>カクチョウ</t>
    </rPh>
    <rPh sb="11" eb="13">
      <t>クウカン</t>
    </rPh>
    <rPh sb="16" eb="19">
      <t>カクセイブン</t>
    </rPh>
    <rPh sb="20" eb="22">
      <t>コスウ</t>
    </rPh>
    <rPh sb="23" eb="25">
      <t>ゾウカ</t>
    </rPh>
    <rPh sb="27" eb="29">
      <t>シヨウ</t>
    </rPh>
    <rPh sb="33" eb="35">
      <t>イカ</t>
    </rPh>
    <rPh sb="36" eb="38">
      <t>キサイ</t>
    </rPh>
    <phoneticPr fontId="3"/>
  </si>
  <si>
    <t>成分の開始値は"0"で、水平/垂直方向精度0の場合の拡張空間IDの個数は1個となる。</t>
    <rPh sb="0" eb="2">
      <t>セイブン</t>
    </rPh>
    <rPh sb="3" eb="6">
      <t>カイシアタイ</t>
    </rPh>
    <rPh sb="12" eb="14">
      <t>スイヘイ</t>
    </rPh>
    <rPh sb="15" eb="17">
      <t>スイチョク</t>
    </rPh>
    <rPh sb="17" eb="19">
      <t>ホウコウ</t>
    </rPh>
    <rPh sb="19" eb="21">
      <t>セイド</t>
    </rPh>
    <rPh sb="23" eb="25">
      <t>バアイ</t>
    </rPh>
    <rPh sb="26" eb="28">
      <t>カクチョウ</t>
    </rPh>
    <rPh sb="28" eb="30">
      <t>クウカン</t>
    </rPh>
    <rPh sb="33" eb="35">
      <t>コスウ</t>
    </rPh>
    <rPh sb="37" eb="38">
      <t>コ</t>
    </rPh>
    <phoneticPr fontId="3"/>
  </si>
  <si>
    <t>　　最大の拡張空間ID：2/3/3/2/3</t>
    <phoneticPr fontId="3"/>
  </si>
  <si>
    <t>　　最小の拡張空間ID：2/0/0/2/0</t>
    <phoneticPr fontId="3"/>
  </si>
  <si>
    <t>例)水平/垂直方向精度2の場合の拡張空間ID最小/最大</t>
    <rPh sb="0" eb="1">
      <t>レイ</t>
    </rPh>
    <rPh sb="2" eb="4">
      <t>スイヘイ</t>
    </rPh>
    <rPh sb="5" eb="7">
      <t>スイチョク</t>
    </rPh>
    <rPh sb="7" eb="9">
      <t>ホウコウ</t>
    </rPh>
    <rPh sb="9" eb="11">
      <t>セイド</t>
    </rPh>
    <rPh sb="13" eb="15">
      <t>バアイ</t>
    </rPh>
    <rPh sb="16" eb="18">
      <t>カクチョウ</t>
    </rPh>
    <rPh sb="18" eb="20">
      <t>クウカン</t>
    </rPh>
    <rPh sb="22" eb="24">
      <t>サイショウ</t>
    </rPh>
    <rPh sb="25" eb="27">
      <t>サイダイ</t>
    </rPh>
    <phoneticPr fontId="3"/>
  </si>
  <si>
    <t>例)水平/垂直方向精度10の場合の拡張空間ID最小/最大</t>
    <rPh sb="0" eb="1">
      <t>レイ</t>
    </rPh>
    <rPh sb="2" eb="4">
      <t>スイヘイ</t>
    </rPh>
    <rPh sb="5" eb="7">
      <t>スイチョク</t>
    </rPh>
    <rPh sb="7" eb="9">
      <t>ホウコウ</t>
    </rPh>
    <rPh sb="9" eb="11">
      <t>セイド</t>
    </rPh>
    <rPh sb="14" eb="16">
      <t>バアイ</t>
    </rPh>
    <rPh sb="17" eb="19">
      <t>カクチョウ</t>
    </rPh>
    <rPh sb="19" eb="21">
      <t>クウカン</t>
    </rPh>
    <rPh sb="23" eb="25">
      <t>サイショウ</t>
    </rPh>
    <rPh sb="26" eb="28">
      <t>サイダイ</t>
    </rPh>
    <phoneticPr fontId="3"/>
  </si>
  <si>
    <t>　　最小の拡張空間ID：10/0/0/10/0</t>
    <phoneticPr fontId="3"/>
  </si>
  <si>
    <t>　　最大の拡張空間ID：10/1023/1023/10/1023</t>
    <phoneticPr fontId="3"/>
  </si>
  <si>
    <t>水平精度が1上がるごとに経度ID、緯度IDの個数はそれぞれ2のべき乗で増加する。</t>
    <rPh sb="22" eb="24">
      <t>コスウ</t>
    </rPh>
    <phoneticPr fontId="3"/>
  </si>
  <si>
    <t>垂直方向精度が1上がるごとに、高さIDの個数は2のべき乗で増加する。</t>
    <phoneticPr fontId="3"/>
  </si>
  <si>
    <t>そのため、試験対象の精度における拡張空間IDの成分最大値を求める際は、</t>
    <rPh sb="5" eb="9">
      <t>シケンタイショウ</t>
    </rPh>
    <rPh sb="10" eb="12">
      <t>セイド</t>
    </rPh>
    <rPh sb="16" eb="20">
      <t>カクチョウクウカン</t>
    </rPh>
    <rPh sb="23" eb="25">
      <t>セイブン</t>
    </rPh>
    <rPh sb="25" eb="28">
      <t>サイダイアタイ</t>
    </rPh>
    <rPh sb="29" eb="30">
      <t>モト</t>
    </rPh>
    <rPh sb="32" eb="33">
      <t>サイ</t>
    </rPh>
    <phoneticPr fontId="3"/>
  </si>
  <si>
    <t>以下の計算式に当てはめて成分を求める。</t>
    <rPh sb="0" eb="2">
      <t>イカ</t>
    </rPh>
    <rPh sb="3" eb="6">
      <t>ケイサンシキ</t>
    </rPh>
    <rPh sb="7" eb="8">
      <t>ア</t>
    </rPh>
    <rPh sb="12" eb="14">
      <t>セイブン</t>
    </rPh>
    <rPh sb="15" eb="16">
      <t>モト</t>
    </rPh>
    <phoneticPr fontId="3"/>
  </si>
  <si>
    <t>成分の最大値 = 2^精度 - 1</t>
    <rPh sb="0" eb="2">
      <t>セイブン</t>
    </rPh>
    <rPh sb="3" eb="6">
      <t>サイダイアタイ</t>
    </rPh>
    <rPh sb="11" eb="13">
      <t>セイド</t>
    </rPh>
    <phoneticPr fontId="3"/>
  </si>
  <si>
    <t>精度における成分の最大値の例を以下に記載する。</t>
    <rPh sb="0" eb="2">
      <t>セイド</t>
    </rPh>
    <rPh sb="6" eb="8">
      <t>セイブン</t>
    </rPh>
    <rPh sb="9" eb="12">
      <t>サイダイアタイ</t>
    </rPh>
    <rPh sb="13" eb="14">
      <t>レイ</t>
    </rPh>
    <rPh sb="15" eb="17">
      <t>イカ</t>
    </rPh>
    <rPh sb="18" eb="20">
      <t>キサイ</t>
    </rPh>
    <phoneticPr fontId="3"/>
  </si>
  <si>
    <t>■ 変換後拡張空間IDの重複 試験データパターン</t>
    <rPh sb="15" eb="17">
      <t>シケン</t>
    </rPh>
    <phoneticPr fontId="32"/>
  </si>
  <si>
    <t>精度変換前の空間IDの精度において、精度変換結果でIDの重複が発生する/発生しない場合の試験用データ</t>
    <rPh sb="0" eb="5">
      <t>セイドヘンカンマエ</t>
    </rPh>
    <rPh sb="6" eb="8">
      <t>クウカン</t>
    </rPh>
    <rPh sb="11" eb="13">
      <t>セイド</t>
    </rPh>
    <rPh sb="18" eb="20">
      <t>セイド</t>
    </rPh>
    <rPh sb="20" eb="22">
      <t>ヘンカン</t>
    </rPh>
    <rPh sb="22" eb="24">
      <t>ケッカ</t>
    </rPh>
    <rPh sb="28" eb="30">
      <t>チョウフク</t>
    </rPh>
    <rPh sb="31" eb="33">
      <t>ハッセイ</t>
    </rPh>
    <rPh sb="36" eb="38">
      <t>ハッセイ</t>
    </rPh>
    <rPh sb="41" eb="43">
      <t>バアイ</t>
    </rPh>
    <rPh sb="44" eb="46">
      <t>シケン</t>
    </rPh>
    <rPh sb="46" eb="47">
      <t>ヨウ</t>
    </rPh>
    <phoneticPr fontId="3"/>
  </si>
  <si>
    <t>重複有り
精度を上げた場合</t>
    <rPh sb="2" eb="3">
      <t>ア</t>
    </rPh>
    <phoneticPr fontId="3"/>
  </si>
  <si>
    <t>重複無し
精度を上げた場合</t>
    <rPh sb="2" eb="3">
      <t>ナ</t>
    </rPh>
    <phoneticPr fontId="3"/>
  </si>
  <si>
    <t>重複有り
精度を下げた場合</t>
    <rPh sb="2" eb="3">
      <t>ア</t>
    </rPh>
    <rPh sb="8" eb="9">
      <t>サ</t>
    </rPh>
    <phoneticPr fontId="3"/>
  </si>
  <si>
    <t>重複無し
精度を下げた場合</t>
    <rPh sb="2" eb="3">
      <t>ナ</t>
    </rPh>
    <rPh sb="8" eb="9">
      <t>サ</t>
    </rPh>
    <phoneticPr fontId="3"/>
  </si>
  <si>
    <t>10/20/20/10/20, 10/20/20/9/10</t>
    <phoneticPr fontId="3"/>
  </si>
  <si>
    <t>精度変換前の拡張空間IDの複数入力時、精度変換後の結果に重複する拡張空間IDが含まれていた場合、重複が解消された結果が取得できることを確認する。</t>
    <rPh sb="0" eb="2">
      <t>セイド</t>
    </rPh>
    <rPh sb="2" eb="5">
      <t>ヘンカンマエ</t>
    </rPh>
    <rPh sb="6" eb="10">
      <t>カクチョウクウカン</t>
    </rPh>
    <rPh sb="13" eb="17">
      <t>フクスウニュウリョク</t>
    </rPh>
    <rPh sb="17" eb="18">
      <t>ジ</t>
    </rPh>
    <rPh sb="19" eb="24">
      <t>セイドヘンカンゴ</t>
    </rPh>
    <rPh sb="25" eb="27">
      <t>ケッカ</t>
    </rPh>
    <rPh sb="28" eb="30">
      <t>チョウフク</t>
    </rPh>
    <rPh sb="32" eb="36">
      <t>カクチョウクウカン</t>
    </rPh>
    <rPh sb="39" eb="40">
      <t>フク</t>
    </rPh>
    <rPh sb="45" eb="47">
      <t>バアイ</t>
    </rPh>
    <rPh sb="48" eb="50">
      <t>チョウフク</t>
    </rPh>
    <rPh sb="51" eb="53">
      <t>カイショウ</t>
    </rPh>
    <rPh sb="56" eb="58">
      <t>ケッカ</t>
    </rPh>
    <rPh sb="59" eb="61">
      <t>シュトク</t>
    </rPh>
    <rPh sb="67" eb="69">
      <t>カクニン</t>
    </rPh>
    <phoneticPr fontId="3"/>
  </si>
  <si>
    <t>変換で精度を減少させた際に変換前拡張空間IDが変換後の拡張空間IDの角に接するようなIDを入力する試験データ</t>
    <rPh sb="0" eb="2">
      <t>ヘンカン</t>
    </rPh>
    <rPh sb="3" eb="5">
      <t>セイド</t>
    </rPh>
    <rPh sb="6" eb="8">
      <t>ゲンショウ</t>
    </rPh>
    <rPh sb="11" eb="12">
      <t>サイ</t>
    </rPh>
    <rPh sb="13" eb="15">
      <t>ヘンカン</t>
    </rPh>
    <rPh sb="15" eb="16">
      <t>マエ</t>
    </rPh>
    <rPh sb="16" eb="18">
      <t>カクチョウ</t>
    </rPh>
    <rPh sb="18" eb="20">
      <t>クウカン</t>
    </rPh>
    <rPh sb="23" eb="26">
      <t>ヘンカンゴ</t>
    </rPh>
    <rPh sb="27" eb="29">
      <t>カクチョウ</t>
    </rPh>
    <rPh sb="29" eb="31">
      <t>クウカン</t>
    </rPh>
    <rPh sb="34" eb="35">
      <t>カド</t>
    </rPh>
    <rPh sb="36" eb="37">
      <t>セッ</t>
    </rPh>
    <rPh sb="45" eb="47">
      <t>ニュウリョク</t>
    </rPh>
    <rPh sb="49" eb="51">
      <t>シケン</t>
    </rPh>
    <phoneticPr fontId="3"/>
  </si>
  <si>
    <t>■ 変換後の角に接する 試験データパターン</t>
    <rPh sb="2" eb="5">
      <t>ヘンカンゴ</t>
    </rPh>
    <rPh sb="6" eb="7">
      <t>カド</t>
    </rPh>
    <rPh sb="8" eb="9">
      <t>セッ</t>
    </rPh>
    <rPh sb="12" eb="14">
      <t>シケン</t>
    </rPh>
    <phoneticPr fontId="32"/>
  </si>
  <si>
    <t>試験パターン</t>
    <rPh sb="0" eb="2">
      <t>シケン</t>
    </rPh>
    <phoneticPr fontId="3"/>
  </si>
  <si>
    <t>重複パターン</t>
    <rPh sb="0" eb="2">
      <t>チョウフク</t>
    </rPh>
    <phoneticPr fontId="3"/>
  </si>
  <si>
    <t>インデクス値パターン</t>
    <rPh sb="5" eb="6">
      <t>アタイ</t>
    </rPh>
    <phoneticPr fontId="3"/>
  </si>
  <si>
    <t>[10/20/20/10/20]</t>
    <phoneticPr fontId="3"/>
  </si>
  <si>
    <t>変換で精度を減少させた際に変換前拡張空間IDが変換後の拡張空間IDの角に接するようなIDを変換前のIDとして用意する。</t>
    <rPh sb="45" eb="47">
      <t>ヘンカン</t>
    </rPh>
    <rPh sb="47" eb="48">
      <t>マエ</t>
    </rPh>
    <rPh sb="54" eb="56">
      <t>ヨウイ</t>
    </rPh>
    <phoneticPr fontId="3"/>
  </si>
  <si>
    <t>・以下のspatialIdErrorが返却されること
　- エラーコード：InputValueError
　- エラーメッセージ：入力チェックエラー</t>
    <rPh sb="1" eb="3">
      <t>イカ</t>
    </rPh>
    <rPh sb="19" eb="21">
      <t>ヘンキャク</t>
    </rPh>
    <phoneticPr fontId="3"/>
  </si>
  <si>
    <t>水平方向精度：36</t>
    <rPh sb="0" eb="2">
      <t>スイヘイ</t>
    </rPh>
    <rPh sb="2" eb="4">
      <t>ホウコウ</t>
    </rPh>
    <rPh sb="4" eb="6">
      <t>セイド</t>
    </rPh>
    <phoneticPr fontId="3"/>
  </si>
  <si>
    <t>水平方向精度：-1</t>
    <rPh sb="0" eb="2">
      <t>スイヘイ</t>
    </rPh>
    <rPh sb="2" eb="4">
      <t>ホウコウ</t>
    </rPh>
    <rPh sb="4" eb="6">
      <t>セイド</t>
    </rPh>
    <phoneticPr fontId="3"/>
  </si>
  <si>
    <t>垂直方向精度：36</t>
    <rPh sb="0" eb="2">
      <t>スイチョク</t>
    </rPh>
    <rPh sb="4" eb="6">
      <t>セイド</t>
    </rPh>
    <phoneticPr fontId="3"/>
  </si>
  <si>
    <t>垂直方向精度：-1</t>
    <rPh sb="0" eb="2">
      <t>スイチョク</t>
    </rPh>
    <rPh sb="4" eb="6">
      <t>セイド</t>
    </rPh>
    <phoneticPr fontId="3"/>
  </si>
  <si>
    <t>水平・垂直方向精度：36</t>
    <rPh sb="0" eb="2">
      <t>スイヘイ</t>
    </rPh>
    <rPh sb="3" eb="5">
      <t>スイチョク</t>
    </rPh>
    <rPh sb="5" eb="7">
      <t>ホウコウ</t>
    </rPh>
    <rPh sb="7" eb="9">
      <t>セイド</t>
    </rPh>
    <phoneticPr fontId="3"/>
  </si>
  <si>
    <t>水平・垂直方向精度：-1</t>
    <rPh sb="0" eb="2">
      <t>スイヘイ</t>
    </rPh>
    <rPh sb="3" eb="5">
      <t>スイチョク</t>
    </rPh>
    <rPh sb="5" eb="7">
      <t>ホウコウ</t>
    </rPh>
    <rPh sb="7" eb="9">
      <t>セイド</t>
    </rPh>
    <phoneticPr fontId="3"/>
  </si>
  <si>
    <t>・入力した座標パターンに対応した期待値が取得できること
・エラーインスタンスが返却されていないこと</t>
  </si>
  <si>
    <t>1. 引数に以下を指定して、integrate.ChangeExtendedSpatialIdsZoomを呼び出す。
　"【別紙1】変換前後の精度差パターン"シート"拡張空間ID試験データ"のNo.1の「変換前拡張空間ID」「変換後水平方向精度」「変換後水平方向精度」</t>
    <phoneticPr fontId="3"/>
  </si>
  <si>
    <t>1. 引数に以下を指定して、integrate.ChangeExtendedSpatialIdsZoomを呼び出す。
　"【別紙3】変換後拡張空間IDの重複パターン"シート"拡張空間ID試験データ"のNo.1の「変換前拡張空間ID」「変換後水平方向精度」「変換後水平方向精度」</t>
    <phoneticPr fontId="3"/>
  </si>
  <si>
    <t>1. 引数に以下を指定して、integrate.ChangeExtendedSpatialIdsZoomを呼び出す。
　"【別紙2】変換前の空間IDパターン"シート"拡張空間ID試験データ"のNo.1の「変換前拡張空間ID」「変換後水平方向精度」「変換後水平方向精度」</t>
    <phoneticPr fontId="3"/>
  </si>
  <si>
    <t>・以下の拡張空間IDが取得できること
　[1/0/0/2/0,
　 1/1/0/2/0,
　 1/0/1/2/0,
　 1/1/1/2/0]
・エラーインスタンスが返却されていないこと</t>
    <rPh sb="1" eb="3">
      <t>イカ</t>
    </rPh>
    <rPh sb="4" eb="8">
      <t>カクチョウクウカン</t>
    </rPh>
    <rPh sb="11" eb="13">
      <t>シュトク</t>
    </rPh>
    <phoneticPr fontId="3"/>
  </si>
  <si>
    <t xml:space="preserve">1. 引数に以下を指定して、integrate.ChangeExtendedSpatialIdsZoomを呼び出す。
　拡張空間ID：10/10/10/10/10
　水平方向精度： 36
　垂直方向精度： 11
</t>
    <rPh sb="60" eb="62">
      <t>カクチョウ</t>
    </rPh>
    <rPh sb="62" eb="64">
      <t>クウカン</t>
    </rPh>
    <rPh sb="83" eb="89">
      <t>スイヘイホウコウセイド</t>
    </rPh>
    <rPh sb="95" eb="97">
      <t>スイチョク</t>
    </rPh>
    <phoneticPr fontId="3"/>
  </si>
  <si>
    <t xml:space="preserve">1. 引数に以下を指定して、integrate.ChangeExtendedSpatialIdsZoomを呼び出す。
　拡張空間ID：0/0/0/2/0
　水平方向精度： 1
　垂直方向精度： 2
</t>
    <rPh sb="89" eb="91">
      <t>スイチョク</t>
    </rPh>
    <phoneticPr fontId="3"/>
  </si>
  <si>
    <t>1. 引数に以下を指定して、integrate.ChangeExtendedSpatialIdsZoomを呼び出す。
　拡張空間ID：2/1/1/2/2
　水平方向精度： 0
　垂直方向精度： 2</t>
    <rPh sb="89" eb="91">
      <t>スイチョク</t>
    </rPh>
    <phoneticPr fontId="3"/>
  </si>
  <si>
    <t>・以下の拡張空間IDが取得できること
　[0/0/0/2/2]
・エラーインスタンスが返却されていないこと</t>
    <phoneticPr fontId="3"/>
  </si>
  <si>
    <t>1. 引数に以下を指定して、integrate.ChangeExtendedSpatialIdsZoomを呼び出す。
　拡張空間ID：34/1023/1024/34/1024
　水平方向精度： 35
　垂直方向精度： 34</t>
    <rPh sb="101" eb="103">
      <t>スイチョク</t>
    </rPh>
    <phoneticPr fontId="3"/>
  </si>
  <si>
    <t>・以下の拡張空間IDが取得できること
　[35/2046/2048/34/1024,
　 35/2046/2049/34/1024,
　 35/2047/2048/34/1024,
　 35/2047/2049/34/1024]
・エラーインスタンスが返却されていないこと</t>
    <phoneticPr fontId="3"/>
  </si>
  <si>
    <t>1. 引数に以下を指定して、integrate.ChangeSpatialIdsZoomを呼び出す。
　"【別紙3】変換後拡張空間IDの重複パターン"シート"空間ID試験データ"のNo.1の「変換前空間ID」「変換後水平方向精度」「変換後水平方向精度」</t>
    <phoneticPr fontId="3"/>
  </si>
  <si>
    <t>変換前空間ID</t>
    <rPh sb="0" eb="3">
      <t>ヘンカンマエ</t>
    </rPh>
    <rPh sb="3" eb="5">
      <t>クウカン</t>
    </rPh>
    <phoneticPr fontId="3"/>
  </si>
  <si>
    <t>1. 引数に以下を指定して、integrate.ChangeSpatialIdsZoomを呼び出す。
　"【別紙2】変換前の空間IDパターン"シート"拡張空間ID試験データ"のNo.1の「変換前空間ID」「変換後水平方向精度」「変換後水平方向精度」</t>
    <phoneticPr fontId="3"/>
  </si>
  <si>
    <t>1. 引数に以下を指定して、integrate.ChangeSpatialIdsZoomを呼び出す。
　"【別紙1】変換前後の精度差パターン"シート"空間ID試験データ"のNo.1の「変換前空間ID」「変換後水平方向精度」「変換後水平方向精度」</t>
    <phoneticPr fontId="3"/>
  </si>
  <si>
    <t>1. 引数に以下を指定して、integrate.ChangeSpatialIdsZoomを呼び出す。
　空間ID：10/10/10/10
　精度： 36</t>
    <rPh sb="52" eb="54">
      <t>クウカン</t>
    </rPh>
    <phoneticPr fontId="3"/>
  </si>
  <si>
    <t>1. 引数に以下を指定して、integrate.ChangeExtendedSpatialIdsZoomを呼び出す。
　"【別紙1】変換前後の精度差パターン"シート"拡張空間ID試験データ"のNo.2の「変換前拡張空間ID」「変換後水平方向精度」「変換後水平方向精度」</t>
    <phoneticPr fontId="3"/>
  </si>
  <si>
    <t>1. 引数に以下を指定して、integrate.ChangeExtendedSpatialIdsZoomを呼び出す。
　"【別紙1】変換前後の精度差パターン"シート"拡張空間ID試験データ"のNo.3の「変換前拡張空間ID」「変換後水平方向精度」「変換後水平方向精度」</t>
    <phoneticPr fontId="3"/>
  </si>
  <si>
    <t>1. 引数に以下を指定して、integrate.ChangeExtendedSpatialIdsZoomを呼び出す。
　"【別紙1】変換前後の精度差パターン"シート"拡張空間ID試験データ"のNo.4の「変換前拡張空間ID」「変換後水平方向精度」「変換後水平方向精度」</t>
    <phoneticPr fontId="3"/>
  </si>
  <si>
    <t>1. 引数に以下を指定して、integrate.ChangeExtendedSpatialIdsZoomを呼び出す。
　"【別紙1】変換前後の精度差パターン"シート"拡張空間ID試験データ"のNo.5の「変換前拡張空間ID」「変換後水平方向精度」「変換後水平方向精度」</t>
    <phoneticPr fontId="3"/>
  </si>
  <si>
    <t>1. 引数に以下を指定して、integrate.ChangeExtendedSpatialIdsZoomを呼び出す。
　"【別紙1】変換前後の精度差パターン"シート"拡張空間ID試験データ"のNo.6の「変換前拡張空間ID」「変換後水平方向精度」「変換後水平方向精度」</t>
    <phoneticPr fontId="3"/>
  </si>
  <si>
    <t>1. 引数に以下を指定して、integrate.ChangeExtendedSpatialIdsZoomを呼び出す。
　"【別紙1】変換前後の精度差パターン"シート"拡張空間ID試験データ"のNo.7の「変換前拡張空間ID」「変換後水平方向精度」「変換後水平方向精度」</t>
    <phoneticPr fontId="3"/>
  </si>
  <si>
    <t>1. 引数に以下を指定して、integrate.ChangeExtendedSpatialIdsZoomを呼び出す。
　"【別紙1】変換前後の精度差パターン"シート"拡張空間ID試験データ"のNo.8の「変換前拡張空間ID」「変換後水平方向精度」「変換後水平方向精度」</t>
    <phoneticPr fontId="3"/>
  </si>
  <si>
    <t>1. 引数に以下を指定して、integrate.ChangeExtendedSpatialIdsZoomを呼び出す。
　"【別紙1】変換前後の精度差パターン"シート"拡張空間ID試験データ"のNo.9の「変換前拡張空間ID」「変換後水平方向精度」「変換後水平方向精度」</t>
    <phoneticPr fontId="3"/>
  </si>
  <si>
    <t xml:space="preserve">1. 引数に以下を指定して、integrate.ChangeExtendedSpatialIdsZoomを呼び出す。
　拡張空間ID：35/10/10/2/10
　水平方向精度： 34
　垂直方向精度： 2
</t>
    <rPh sb="94" eb="96">
      <t>スイチョク</t>
    </rPh>
    <phoneticPr fontId="3"/>
  </si>
  <si>
    <t>・以下の拡張空間IDが取得できること
　[34/5/5/2/10]
・エラーインスタンスが返却されていないこと</t>
    <rPh sb="1" eb="3">
      <t>イカ</t>
    </rPh>
    <rPh sb="4" eb="8">
      <t>カクチョウクウカン</t>
    </rPh>
    <rPh sb="11" eb="13">
      <t>シュトク</t>
    </rPh>
    <phoneticPr fontId="3"/>
  </si>
  <si>
    <t xml:space="preserve">1. 引数に以下を指定して、integrate.ChangeExtendedSpatialIdsZoomを呼び出す。
　拡張空間ID：2/0/0/0/0
　水平方向精度： 2
　垂直方向精度： 1
</t>
    <rPh sb="89" eb="91">
      <t>スイチョク</t>
    </rPh>
    <phoneticPr fontId="3"/>
  </si>
  <si>
    <t>・以下の拡張空間IDが取得できること
　[2/0/0/1/0,
   2/0/0/1/1]
・エラーインスタンスが返却されていないこと</t>
    <rPh sb="1" eb="3">
      <t>イカ</t>
    </rPh>
    <rPh sb="4" eb="8">
      <t>カクチョウクウカン</t>
    </rPh>
    <rPh sb="11" eb="13">
      <t>シュトク</t>
    </rPh>
    <phoneticPr fontId="3"/>
  </si>
  <si>
    <t xml:space="preserve">1. 引数に以下を指定して、integrate.ChangeExtendedSpatialIdsZoomを呼び出す。
　拡張空間ID：2/10/10/35/10
　水平方向精度： 2
　垂直方向精度： 34
</t>
    <rPh sb="93" eb="95">
      <t>スイチョク</t>
    </rPh>
    <phoneticPr fontId="3"/>
  </si>
  <si>
    <t>・以下の拡張空間IDが取得できること
　[2/10/10/34/5]
・エラーインスタンスが返却されていないこと</t>
    <rPh sb="1" eb="3">
      <t>イカ</t>
    </rPh>
    <rPh sb="4" eb="8">
      <t>カクチョウクウカン</t>
    </rPh>
    <rPh sb="11" eb="13">
      <t>シュトク</t>
    </rPh>
    <phoneticPr fontId="3"/>
  </si>
  <si>
    <t>1. 引数に以下を指定して、integrate.ChangeExtendedSpatialIdsZoomを呼び出す。
　"【別紙2】変換前の空間IDパターン"シート"拡張空間ID試験データ"のNo.2の「変換前拡張空間ID」「変換後水平方向精度」「変換後水平方向精度」</t>
    <phoneticPr fontId="3"/>
  </si>
  <si>
    <t>1. 引数に以下を指定して、integrate.ChangeExtendedSpatialIdsZoomを呼び出す。
　"【別紙2】変換前の空間IDパターン"シート"拡張空間ID試験データ"のNo.3の「変換前拡張空間ID」「変換後水平方向精度」「変換後水平方向精度」</t>
    <phoneticPr fontId="3"/>
  </si>
  <si>
    <t>1. 引数に以下を指定して、integrate.ChangeExtendedSpatialIdsZoomを呼び出す。
　"【別紙2】変換前の空間IDパターン"シート"拡張空間ID試験データ"のNo.4の「変換前拡張空間ID」「変換後水平方向精度」「変換後水平方向精度」</t>
    <phoneticPr fontId="3"/>
  </si>
  <si>
    <t>1. 引数に以下を指定して、integrate.ChangeExtendedSpatialIdsZoomを呼び出す。
　"【別紙2】変換前の空間IDパターン"シート"拡張空間ID試験データ"のNo.5の「変換前拡張空間ID」「変換後水平方向精度」「変換後水平方向精度」</t>
    <phoneticPr fontId="3"/>
  </si>
  <si>
    <t>1. 引数に以下を指定して、integrate.ChangeExtendedSpatialIdsZoomを呼び出す。
　"【別紙2】変換前の空間IDパターン"シート"拡張空間ID試験データ"のNo.6の「変換前拡張空間ID」「変換後水平方向精度」「変換後水平方向精度」</t>
    <phoneticPr fontId="3"/>
  </si>
  <si>
    <t>1. 引数に以下を指定して、integrate.ChangeExtendedSpatialIdsZoomを呼び出す。
　"【別紙3】変換後拡張空間IDの重複パターン"シート"拡張空間ID試験データ"のNo.2の「変換前拡張空間ID」「変換後水平方向精度」「変換後水平方向精度」</t>
    <phoneticPr fontId="3"/>
  </si>
  <si>
    <t>1. 引数に以下を指定して、integrate.ChangeExtendedSpatialIdsZoomを呼び出す。
　"【別紙3】変換後拡張空間IDの重複パターン"シート"拡張空間ID試験データ"のNo.3の「変換前拡張空間ID」「変換後水平方向精度」「変換後水平方向精度」</t>
    <phoneticPr fontId="3"/>
  </si>
  <si>
    <t>1. 引数に以下を指定して、integrate.ChangeExtendedSpatialIdsZoomを呼び出す。
　"【別紙3】変換後拡張空間IDの重複パターン"シート"拡張空間ID試験データ"のNo.4の「変換前拡張空間ID」「変換後水平方向精度」「変換後水平方向精度」</t>
    <phoneticPr fontId="3"/>
  </si>
  <si>
    <t>1. 引数に以下を指定して、integrate.ChangeExtendedSpatialIdsZoomを呼び出す。
　拡張空間ID：2/2/2/2/1
　水平方向精度： 2
　垂直方向精度： 0</t>
    <rPh sb="89" eb="91">
      <t>スイチョク</t>
    </rPh>
    <phoneticPr fontId="3"/>
  </si>
  <si>
    <t>・以下の拡張空間IDが取得できること
　[2/2/2/0/0]
・エラーインスタンスが返却されていないこと</t>
    <phoneticPr fontId="3"/>
  </si>
  <si>
    <t>1. 引数に以下を指定して、integrate.ChangeExtendedSpatialIdsZoomを呼び出す。
　拡張空間ID：34/1023/1024/34/1024
　水平方向精度： 34
　垂直方向精度： 35</t>
    <rPh sb="101" eb="103">
      <t>スイチョク</t>
    </rPh>
    <phoneticPr fontId="3"/>
  </si>
  <si>
    <t>・以下の拡張空間IDが取得できること
　[34/1023/1024/35/2048,
   34/1023/1024/35/2049]
・エラーインスタンスが返却されていないこと</t>
    <phoneticPr fontId="3"/>
  </si>
  <si>
    <t>1. 引数に以下を指定して、integrate.ChangeSpatialIdsZoomを呼び出す。
　拡張空間ID：10/10/10/10
　精度： -1</t>
    <rPh sb="52" eb="54">
      <t>カクチョウ</t>
    </rPh>
    <rPh sb="54" eb="56">
      <t>クウカン</t>
    </rPh>
    <phoneticPr fontId="3"/>
  </si>
  <si>
    <t xml:space="preserve">1. 引数に以下を指定して、integrate.ChangeSpatialIdsZoomを呼び出す。
　空間ID：10/10/10
　精度: 11
</t>
    <rPh sb="67" eb="69">
      <t>セイド</t>
    </rPh>
    <phoneticPr fontId="3"/>
  </si>
  <si>
    <t xml:space="preserve">1. 引数に以下を指定して、integrate.ChangeSpatialIdsZoomを呼び出す。
　空間ID：10/10/10/10/10
　精度: 11
</t>
    <rPh sb="73" eb="75">
      <t>セイド</t>
    </rPh>
    <phoneticPr fontId="3"/>
  </si>
  <si>
    <t xml:space="preserve">1. 引数に以下を指定して、integrate.ChangeSpatialIdsZoomを呼び出す。
　空間ID：10|10|10|10
　精度: 11
</t>
    <rPh sb="70" eb="72">
      <t>セイド</t>
    </rPh>
    <phoneticPr fontId="3"/>
  </si>
  <si>
    <t xml:space="preserve">1. 引数に以下を指定して、integrate.ChangeSpatialIdsZoomを呼び出す。
　空間ID：/10/10/10
　精度: 11
</t>
    <rPh sb="68" eb="70">
      <t>セイド</t>
    </rPh>
    <phoneticPr fontId="3"/>
  </si>
  <si>
    <t xml:space="preserve">1. 引数に以下を指定して、integrate.ChangeSpatialIdsZoomを呼び出す。
　空間ID：10/10//10
　精度: 11
</t>
    <rPh sb="68" eb="70">
      <t>セイド</t>
    </rPh>
    <phoneticPr fontId="3"/>
  </si>
  <si>
    <t xml:space="preserve">1. 引数に以下を指定して、integrate.ChangeSpatialIdsZoomを呼び出す。
　空間ID：10/10/10/
　精度: 11
</t>
    <rPh sb="68" eb="70">
      <t>セイド</t>
    </rPh>
    <phoneticPr fontId="3"/>
  </si>
  <si>
    <t xml:space="preserve">1. 引数に以下を指定して、integrate.ChangeSpatialIdsZoomを呼び出す。
　空間ID：10//10/10
　精度: 11
</t>
    <rPh sb="68" eb="70">
      <t>セイド</t>
    </rPh>
    <phoneticPr fontId="3"/>
  </si>
  <si>
    <t>1. 引数に以下を指定して、integrate.ChangeSpatialIdsZoomを呼び出す。
　"【別紙1】変換前後の精度差パターン"シート"空間ID試験データ"のNo.2の「変換前拡張空間ID」「変換後水平方向精度」「変換後水平方向精度」</t>
    <phoneticPr fontId="3"/>
  </si>
  <si>
    <t>1. 引数に以下を指定して、integrate.ChangeSpatialIdsZoomを呼び出す。
　"【別紙1】変換前後の精度差パターン"シート"空間ID試験データ"のNo.3の「変換前拡張空間ID」「変換後水平方向精度」「変換後水平方向精度」</t>
    <phoneticPr fontId="3"/>
  </si>
  <si>
    <t xml:space="preserve">1. 引数に以下を指定して、integrate.ChangeSpatialIdsZoomを呼び出す。
　空間ID：35/10/10/10
　精度: 34
</t>
    <rPh sb="70" eb="72">
      <t>セイド</t>
    </rPh>
    <phoneticPr fontId="3"/>
  </si>
  <si>
    <t>・以下の空間IDが取得できること
[34/5/5/5]
・エラーインスタンスが返却されていないこと</t>
    <rPh sb="1" eb="3">
      <t>イカ</t>
    </rPh>
    <rPh sb="4" eb="6">
      <t>クウカン</t>
    </rPh>
    <rPh sb="9" eb="11">
      <t>シュトク</t>
    </rPh>
    <phoneticPr fontId="3"/>
  </si>
  <si>
    <t>1. 引数に以下を指定して、integrate.ChangeSpatialIdsZoomを呼び出す。
　"【別紙2】変換前の空間IDパターン"シート"拡張空間ID試験データ"のNo.2の「変換前拡張空間ID」「変換後水平方向精度」「変換後水平方向精度」</t>
    <phoneticPr fontId="3"/>
  </si>
  <si>
    <t>1. 引数に以下を指定して、integrate.ChangeSpatialIdsZoomを呼び出す。
　"【別紙2】変換前の空間IDパターン"シート"拡張空間ID試験データ"のNo.3の「変換前拡張空間ID」「変換後水平方向精度」「変換後水平方向精度」</t>
    <phoneticPr fontId="3"/>
  </si>
  <si>
    <t>1. 引数に以下を指定して、integrate.ChangeSpatialIdsZoomを呼び出す。
　"【別紙2】変換前の空間IDパターン"シート"拡張空間ID試験データ"のNo.4の「変換前拡張空間ID」「変換後水平方向精度」「変換後水平方向精度」</t>
    <phoneticPr fontId="3"/>
  </si>
  <si>
    <t>1. 引数に以下を指定して、integrate.ChangeSpatialIdsZoomを呼び出す。
　"【別紙2】変換前の空間IDパターン"シート"拡張空間ID試験データ"のNo.5の「変換前拡張空間ID」「変換後水平方向精度」「変換後水平方向精度」</t>
    <phoneticPr fontId="3"/>
  </si>
  <si>
    <t>1. 引数に以下を指定して、integrate.ChangeSpatialIdsZoomを呼び出す。
　"【別紙2】変換前の空間IDパターン"シート"拡張空間ID試験データ"のNo.6の「変換前拡張空間ID」「変換後水平方向精度」「変換後水平方向精度」</t>
    <phoneticPr fontId="3"/>
  </si>
  <si>
    <t>1. 引数に以下を指定して、integrate.ChangeSpatialIdsZoomを呼び出す。
　"【別紙3】変換後拡張空間IDの重複パターン"シート"拡張空間ID試験データ"のNo.2の「変換前拡張空間ID」「変換後水平方向精度」「変換後水平方向精度」</t>
    <phoneticPr fontId="3"/>
  </si>
  <si>
    <t>1. 引数に以下を指定して、integrate.ChangeSpatialIdsZoomを呼び出す。
　"【別紙3】変換後拡張空間IDの重複パターン"シート"拡張空間ID試験データ"のNo.3の「変換前拡張空間ID」「変換後水平方向精度」「変換後水平方向精度」</t>
    <phoneticPr fontId="3"/>
  </si>
  <si>
    <t>1. 引数に以下を指定して、integrate.ChangeSpatialIdsZoomを呼び出す。
　"【別紙3】変換後拡張空間IDの重複パターン"シート"拡張空間ID試験データ"のNo.4の「変換前拡張空間ID」「変換後水平方向精度」「変換後水平方向精度」</t>
    <phoneticPr fontId="3"/>
  </si>
  <si>
    <t xml:space="preserve">1. 引数に以下を指定して、integrate.ChangeSpatialIdsZoomを呼び出す。
　空間ID：1/1/1/1
　精度: 0
</t>
    <rPh sb="66" eb="68">
      <t>セイド</t>
    </rPh>
    <phoneticPr fontId="3"/>
  </si>
  <si>
    <t>・以下の空間IDが取得できること
[0/0/0/0]
・エラーインスタンスが返却されていないこと</t>
    <rPh sb="1" eb="3">
      <t>イカ</t>
    </rPh>
    <rPh sb="4" eb="6">
      <t>クウカン</t>
    </rPh>
    <rPh sb="9" eb="11">
      <t>シュトク</t>
    </rPh>
    <phoneticPr fontId="3"/>
  </si>
  <si>
    <t xml:space="preserve">1. 引数に以下を指定して、integrate.ChangeSpatialIdsZoomを呼び出す。
　空間ID：34/1024/1024/1024
　精度: 35
</t>
    <rPh sb="76" eb="78">
      <t>セイド</t>
    </rPh>
    <phoneticPr fontId="3"/>
  </si>
  <si>
    <t>・以下の空間IDが取得できること
[35/2048/2048/2048,
 35/2049/2048/2048,
 35/2048/2049/2048,
 35/2049/2049/2048,
 35/2048/2048/2049,
 35/2049/2048/2049,
 35/2048/2049/2049,
 35/2049/2049/2049]
・エラーインスタンスが返却されていないこと</t>
    <rPh sb="1" eb="3">
      <t>イカ</t>
    </rPh>
    <rPh sb="4" eb="6">
      <t>クウカン</t>
    </rPh>
    <rPh sb="9" eb="11">
      <t>シュトク</t>
    </rPh>
    <phoneticPr fontId="3"/>
  </si>
  <si>
    <t>[9/10/10/11/40 9/10/10/11/41]</t>
  </si>
  <si>
    <t>[10/20/20/11/40 10/20/20/11/41]</t>
  </si>
  <si>
    <t>[11/40/40/9/10 11/41/40/9/10 11/40/41/9/10 11/41/41/9/10]</t>
  </si>
  <si>
    <t>[9/10/10/9/10]</t>
  </si>
  <si>
    <t>[10/20/20/9/10]</t>
  </si>
  <si>
    <t>[11/40/40/10/20 11/41/40/10/20 11/40/41/10/20 11/41/41/10/20]</t>
  </si>
  <si>
    <t>[9/10/10/10/20]</t>
  </si>
  <si>
    <t>[10/20/20/10/20]</t>
  </si>
  <si>
    <t>[9/10/10/10]</t>
  </si>
  <si>
    <t>[10/20/20/20]</t>
  </si>
  <si>
    <t>10/20/0/10/20</t>
    <phoneticPr fontId="3"/>
  </si>
  <si>
    <t>[11/40/1/11/41 11/41/1/11/40 11/41/1/11/41 11/40/0/11/40 11/40/0/11/41 11/41/0/11/40 11/41/0/11/41 11/40/1/11/40]</t>
    <phoneticPr fontId="3"/>
  </si>
  <si>
    <t>10/20/1023/10/20</t>
    <phoneticPr fontId="3"/>
  </si>
  <si>
    <t>[11/41/2046/11/41 11/40/2047/11/40 11/40/2047/11/41 11/41/2047/11/40 11/41/2047/11/41 11/40/2046/11/40 11/40/2046/11/41 11/41/2046/11/40]</t>
    <phoneticPr fontId="3"/>
  </si>
  <si>
    <t>10/20/20/10/0</t>
    <phoneticPr fontId="3"/>
  </si>
  <si>
    <t>[11/41/41/11/0 11/41/41/11/1 11/40/40/11/0 11/40/40/11/1 11/41/40/11/0 11/41/40/11/1 11/40/41/11/0 11/40/41/11/1]</t>
  </si>
  <si>
    <t>10/20/20/10/1023</t>
    <phoneticPr fontId="3"/>
  </si>
  <si>
    <t>[11/41/40/11/2046 11/41/40/11/2047 11/40/41/11/2046 11/40/41/11/2047 11/41/41/11/2046 11/41/41/11/2047 11/40/40/11/2046 11/40/40/11/2047]</t>
  </si>
  <si>
    <t>10/20/0/20</t>
    <phoneticPr fontId="3"/>
  </si>
  <si>
    <t>[11/41/0/41 11/40/1/41 11/41/1/41 11/40/0/40 11/41/0/40 11/40/1/40 11/41/1/40 11/40/0/41]</t>
    <phoneticPr fontId="3"/>
  </si>
  <si>
    <t>10/20/1023/20</t>
    <phoneticPr fontId="3"/>
  </si>
  <si>
    <t>[11/40/2047/40 11/41/2047/40 11/40/2046/41 11/41/2046/41 11/40/2047/41 11/41/2047/41 11/40/2046/40 11/41/2046/40]</t>
    <phoneticPr fontId="3"/>
  </si>
  <si>
    <t>10/20/20/0</t>
    <phoneticPr fontId="3"/>
  </si>
  <si>
    <t>[11/41/41/1 11/40/40/0 11/41/40/0 11/40/41/0 11/41/41/0 11/40/40/1 11/41/40/1 11/40/41/1]</t>
    <phoneticPr fontId="3"/>
  </si>
  <si>
    <t>10/20/20/1023</t>
    <phoneticPr fontId="3"/>
  </si>
  <si>
    <t>[11/40/40/2046 11/41/40/2046 11/40/41/2046 11/41/41/2046 11/40/40/2047 11/41/40/2047 11/40/41/2047 11/41/41/2047]</t>
    <phoneticPr fontId="3"/>
  </si>
  <si>
    <t>10/0/20/20</t>
    <phoneticPr fontId="3"/>
  </si>
  <si>
    <t>[11/1/41/40 11/0/40/41 11/1/40/41 11/0/41/41 11/1/41/41 11/0/40/40 11/1/40/40 11/0/41/40]</t>
    <phoneticPr fontId="3"/>
  </si>
  <si>
    <t>10/1023/20/20</t>
    <phoneticPr fontId="3"/>
  </si>
  <si>
    <t>[11/2047/40/40 11/2046/41/40 11/2047/41/40 11/2046/40/41 11/2047/40/41 11/2046/41/41 11/2047/41/41 11/2046/40/40]</t>
  </si>
  <si>
    <t>[8/5/5/8/5]</t>
    <phoneticPr fontId="3"/>
  </si>
  <si>
    <t>10/20/20/10/20, 10/200/400/10/10</t>
    <phoneticPr fontId="3"/>
  </si>
  <si>
    <t>10/20/20/10/20, 9/20/20/9/10</t>
    <phoneticPr fontId="3"/>
  </si>
  <si>
    <t>[8/5/5/8/5 8/10/10/8/5]</t>
  </si>
  <si>
    <t>10/21/20/20,
9/10/10/10</t>
    <phoneticPr fontId="3"/>
  </si>
  <si>
    <t>[11/40/40/41 11/41/42/42 11/43/43/40 11/43/40/41 11/40/40/40 11/43/40/42 11/43/43/42 11/41/42/43 11/41/43/43 11/43/41/40 11/43/41/41 11/41/42/40 11/40/43/41 11/41/43/41 11/41/43/42 11/43/40/40 11/43/42/42 11/42/41/42 11/40/41/40 11/43/42/41 11/42/40/42 11/43/41/42 11/43/40/43 11/41/40/40 11/40/41/41 11/41/42/41 11/40/41/43 11/42/42/40 11/42/42/41 11/40/40/42 11/41/40/42 11/42/42/42 11/42/41/43 11/41/41/41 11/40/43/40 11/40/40/43 11/42/40/41 11/42/43/42 11/41/40/43 11/43/42/43 11/41/41/40 11/41/40/41 11/41/41/42 11/40/43/42 11/42/40/43 11/40/42/43 11/41/43/40 11/40/41/42 11/42/43/41 11/42/43/40 11/43/43/41 11/43/43/43 11/40/42/40 11/40/42/42 11/42/41/41 11/41/41/43 11/43/41/43 11/42/40/40 11/40/42/41 11/40/43/43 11/42/43/43 11/43/42/40 11/42/42/43 11/42/41/40]</t>
    <phoneticPr fontId="3"/>
  </si>
  <si>
    <t>[8/5/5/5]</t>
  </si>
  <si>
    <t>10/400/400/400,
9/10/10/10</t>
    <phoneticPr fontId="3"/>
  </si>
  <si>
    <t>[11/43/41/40 11/42/41/41 11/40/43/43 11/800/800/801 11/801/801/801 11/40/42/42 11/41/40/43 11/43/40/40 11/41/43/41 11/42/43/41 11/41/43/43 11/41/42/43 11/800/801/801 11/41/41/40 11/42/42/41 11/43/42/42 11/41/41/42 11/43/43/43 11/800/801/800 11/40/43/40 11/41/43/40 11/40/41/41 11/42/42/40 11/42/40/41 11/40/40/43 11/42/40/43 11/43/43/41 11/41/40/40 11/42/40/40 11/40/41/40 11/40/42/41 11/43/42/41 11/42/42/42 11/40/42/43 11/42/43/43 11/43/43/42 11/43/40/43 11/43/41/43 11/43/42/43 11/41/41/41 11/43/40/42 11/41/42/42 11/41/43/42 11/801/800/800 11/801/800/801 11/43/43/40 11/42/43/42 11/43/40/41 11/40/43/42 11/40/41/43 11/41/41/43 11/801/801/800 11/42/41/40 11/41/42/40 11/42/43/40 11/42/42/43 11/40/40/41 11/41/40/42 11/42/40/42 11/42/41/43 11/40/40/40 11/41/40/41 11/43/41/41 11/40/40/42 11/800/800/800 11/40/42/40 11/43/42/40 11/43/41/42 11/40/41/42 11/42/41/42 11/41/42/41 11/40/43/41]</t>
    <phoneticPr fontId="3"/>
  </si>
  <si>
    <t>10/21/20/20,
9/20/20/10</t>
    <phoneticPr fontId="3"/>
  </si>
  <si>
    <t>[8/5/5/5 8/10/10/5]</t>
  </si>
  <si>
    <t xml:space="preserve">1. 引数に以下を指定して、integrate.ChangeExtendedSpatialIdsZoomを呼び出す。
　拡張空間ID：25/1000/500/25/200, 26/1000/500/26/200, 27/1000/500/27/200
　水平方向精度： 26
　垂直方向精度： 26
</t>
  </si>
  <si>
    <t>・以下の拡張空間IDが取得できること
　[26/500/250/26/100,
　 26/1000/500/26/200,
　 26/2000/1000/26/400,
　 26/2000/1001/26/400,
　 26/2001/1000/26/400,
　 26/2001/1001/26/400,
　 26/2000/1000/26/401,
　 26/2000/1001/26/401,
　 26/2001/1000/26/401,
　 26/2001/1001/26/401]
・エラーインスタンスが返却されていないこと</t>
  </si>
  <si>
    <t>1. 引数に以下を指定して、integrate.ChangeExtendedSpatialIdsZoomを呼び出す。
　"【別紙4】変換後の角に接するパターン"シート"拡張空間ID試験データ"のNo.1の「変換前拡張空間ID」「変換後水平方向精度」「変換後水平方向精度」</t>
  </si>
  <si>
    <t>1. 引数に以下を指定して、integrate.ChangeExtendedSpatialIdsZoomを呼び出す。
　"【別紙4】変換後の角に接するパターン"シート"拡張空間ID試験データ"のNo.2の「変換前拡張空間ID」「変換後水平方向精度」「変換後水平方向精度」</t>
  </si>
  <si>
    <t>1. 引数に以下を指定して、integrate.ChangeExtendedSpatialIdsZoomを呼び出す。
　"【別紙4】変換後の角に接するパターン"シート"拡張空間ID試験データ"のNo.3の「変換前拡張空間ID」「変換後水平方向精度」「変換後水平方向精度」</t>
  </si>
  <si>
    <t>1. 引数に以下を指定して、integrate.ChangeExtendedSpatialIdsZoomを呼び出す。
　"【別紙4】変換後の角に接するパターン"シート"拡張空間ID試験データ"のNo.4の「変換前拡張空間ID」「変換後水平方向精度」「変換後水平方向精度」</t>
  </si>
  <si>
    <t>1. 引数に以下を指定して、integrate.ChangeExtendedSpatialIdsZoomを呼び出す。
　"【別紙4】変換後の角に接するパターン"シート"拡張空間ID試験データ"のNo.5の「変換前拡張空間ID」「変換後水平方向精度」「変換後水平方向精度」</t>
  </si>
  <si>
    <t>1. 引数に以下を指定して、integrate.ChangeExtendedSpatialIdsZoomを呼び出す。
　"【別紙4】変換後の角に接するパターン"シート"拡張空間ID試験データ"のNo.6の「変換前拡張空間ID」「変換後水平方向精度」「変換後水平方向精度」</t>
  </si>
  <si>
    <t>1. 引数に以下を指定して、integrate.ChangeExtendedSpatialIdsZoomを呼び出す。
　"【別紙4】変換後の角に接するパターン"シート"拡張空間ID試験データ"のNo.7の「変換前拡張空間ID」「変換後水平方向精度」「変換後水平方向精度」</t>
  </si>
  <si>
    <t>1. 引数に以下を指定して、integrate.ChangeExtendedSpatialIdsZoomを呼び出す。
　"【別紙4】変換後の角に接するパターン"シート"拡張空間ID試験データ"のNo.8の「変換前拡張空間ID」「変換後水平方向精度」「変換後水平方向精度」</t>
  </si>
  <si>
    <t>変換前拡張空間IDを複数入力する試験用データ</t>
    <rPh sb="0" eb="3">
      <t>ヘンカンマエ</t>
    </rPh>
    <rPh sb="3" eb="7">
      <t>カクチョウクウカン</t>
    </rPh>
    <rPh sb="10" eb="14">
      <t>フクスウニュウリョク</t>
    </rPh>
    <rPh sb="16" eb="19">
      <t>シケンヨウ</t>
    </rPh>
    <phoneticPr fontId="3"/>
  </si>
  <si>
    <t>20/10023/10023/20/10023, 20/10024/10024/20/10024</t>
    <phoneticPr fontId="3"/>
  </si>
  <si>
    <t>20/10023/10023/20/10023, 20/10024/10024/20/10024, 20/10025/10025/20/10025, 20/10026/10026/20/10026, 20/10027/10027/20/10027, 22/40112/40112/22/40112, 22/40114/40114/22/40114, 22/40116/40116/22/40116, 22/40118/40118/22/40118, 22/40120/40120/22/40120</t>
    <phoneticPr fontId="3"/>
  </si>
  <si>
    <t>1. 引数に以下を指定して、integrate.ChangeExtendedSpatialIdsZoomを呼び出す。
　"【別紙5】変換前拡張空間IDの複数入力パターン"シート"拡張空間ID試験データ"のNo.1の「変換前拡張空間ID」「変換後水平方向精度」「変換後水平方向精度」</t>
    <phoneticPr fontId="3"/>
  </si>
  <si>
    <t>・入力した座標パターンに対応した期待値が取得できること
・エラーインスタンスが返却されていないこと</t>
    <phoneticPr fontId="3"/>
  </si>
  <si>
    <t>1. 引数に以下を指定して、integrate.ChangeExtendedSpatialIdsZoomを呼び出す。
　"【別紙5】変換前拡張空間IDの複数入力パターン"シート"拡張空間ID試験データ"のNo.2の「変換前拡張空間ID」「変換後水平方向精度」「変換後水平方向精度」</t>
    <phoneticPr fontId="3"/>
  </si>
  <si>
    <t>1. 引数に以下を指定して、integrate.ChangeExtendedSpatialIdsZoomを呼び出す。
　"【別紙5】変換前拡張空間IDの複数入力パターン"シート"空間ID試験データ"のNo.2の「変換前空間ID」「変換後水平方向精度」「変換後水平方向精度」</t>
    <phoneticPr fontId="3"/>
  </si>
  <si>
    <t>1. 引数に以下を指定して、integrate.ChangeExtendedSpatialIdsZoomを呼び出す。
　"【別紙5】変換前拡張空間IDの複数入力パターン"シート"空間ID試験データ"のNo.1の「変換前空間ID」「変換後水平方向精度」「変換後水平方向精度」</t>
    <phoneticPr fontId="3"/>
  </si>
  <si>
    <t>・以下の空間IDが取得できること
　[26/100/500/250,
　 26/200/1000/500,
　 26/400/2000/1000,
　 26/400/2000/1001,
　 26/400/2001/1000,
　 26/400/2001/1001,
　 26/401/2000/1000,
　 26/401/2000/1001,
　 26/401/2001/1000,
　 26/401/2001/1001]
・エラーインスタンスが返却されていないこと</t>
  </si>
  <si>
    <t>1. 引数に以下を指定して、integrate.ChangeSpatialIdsZoomを呼び出す。
　"【別紙4】変換後の角に接するパターン"シート"空間ID試験データ"のNo.1の「変換前空間ID」「変換後水平方向精度」「変換後水平方向精度」</t>
  </si>
  <si>
    <t>1. 引数に以下を指定して、integrate.ChangeSpatialIdsZoomを呼び出す。
　"【別紙4】変換後の角に接するパターン"シート"空間ID試験データ"のNo.2の「変換前空間ID」「変換後水平方向精度」「変換後水平方向精度」</t>
  </si>
  <si>
    <t>1. 引数に以下を指定して、integrate.ChangeSpatialIdsZoomを呼び出す。
　"【別紙4】変換後の角に接するパターン"シート"空間ID試験データ"のNo.3の「変換前空間ID」「変換後水平方向精度」「変換後水平方向精度」</t>
  </si>
  <si>
    <t>1. 引数に以下を指定して、integrate.ChangeSpatialIdsZoomを呼び出す。
　"【別紙4】変換後の角に接するパターン"シート"空間ID試験データ"のNo.4の「変換前空間ID」「変換後水平方向精度」「変換後水平方向精度」</t>
  </si>
  <si>
    <t>1. 引数に以下を指定して、integrate.ChangeSpatialIdsZoomを呼び出す。
　"【別紙4】変換後の角に接するパターン"シート"空間ID試験データ"のNo.5の「変換前空間ID」「変換後水平方向精度」「変換後水平方向精度」</t>
  </si>
  <si>
    <t>1. 引数に以下を指定して、integrate.ChangeSpatialIdsZoomを呼び出す。
　"【別紙4】変換後の角に接するパターン"シート"空間ID試験データ"のNo.6の「変換前空間ID」「変換後水平方向精度」「変換後水平方向精度」</t>
  </si>
  <si>
    <t>1. 引数に以下を指定して、integrate.ChangeSpatialIdsZoomを呼び出す。
　"【別紙4】変換後の角に接するパターン"シート"空間ID試験データ"のNo.7の「変換前空間ID」「変換後水平方向精度」「変換後水平方向精度」</t>
  </si>
  <si>
    <t>1. 引数に以下を指定して、integrate.ChangeSpatialIdsZoomを呼び出す。
　"【別紙4】変換後の角に接するパターン"シート"空間ID試験データ"のNo.8の「変換前空間ID」「変換後水平方向精度」「変換後水平方向精度」</t>
  </si>
  <si>
    <t>12/80/80/12/80</t>
  </si>
  <si>
    <t>12/83/80/12/80</t>
  </si>
  <si>
    <t>12/80/83/12/80</t>
  </si>
  <si>
    <t>12/83/83/12/80</t>
  </si>
  <si>
    <t>12/80/80/12/83</t>
  </si>
  <si>
    <t>12/83/80/12/83</t>
  </si>
  <si>
    <t>12/80/83/12/83</t>
  </si>
  <si>
    <t>12/83/83/12/83</t>
  </si>
  <si>
    <t>12/80/80/80</t>
  </si>
  <si>
    <t>12/80/83/80</t>
  </si>
  <si>
    <t>12/80/80/83</t>
  </si>
  <si>
    <t>12/80/83/83</t>
  </si>
  <si>
    <t>12/83/80/80</t>
  </si>
  <si>
    <t>12/83/83/80</t>
  </si>
  <si>
    <t>12/83/80/83</t>
  </si>
  <si>
    <t>12/83/83/83</t>
  </si>
  <si>
    <t>[10/20/20/20]</t>
    <phoneticPr fontId="3"/>
  </si>
  <si>
    <t>20/10023/10023/10023, 20/10024/10024/10024</t>
    <phoneticPr fontId="3"/>
  </si>
  <si>
    <t>20/10023/10023/10023, 20/10024/10024/10024, 20/10025/10025/10025, 20/10026/10026/10026, 20/10027/10027/10027, 22/40112/40112/40112, 22/40114/40114/40114, 22/40116/40116/40116, 22/40118/40118/40118, 22/40120/40120/40120</t>
    <phoneticPr fontId="3"/>
  </si>
  <si>
    <t>[11/41/40/11/41 11/400/800/11/21 11/401/800/11/21 11/400/801/11/20 11/401/801/11/20 11/41/40/11/40 11/40/41/11/40 11/40/41/11/41 11/401/801/11/21 11/41/41/11/40 11/41/41/11/41 11/401/800/11/20 11/400/801/11/21 11/40/40/11/40 11/40/40/11/41 11/400/800/11/20]</t>
    <phoneticPr fontId="3"/>
  </si>
  <si>
    <t>[21/20046/20046/20046 21/20046/20047/20046 21/20047/20046/20046 21/20047/20047/20046 21/20046/20046/20047 21/20046/20047/20047 21/20047/20046/20047 21/20047/20047/20047 21/20048/20048/20048 21/20048/20049/20048 21/20049/20048/20048 21/20049/20049/20048 21/20048/20048/20049 21/20048/20049/20049 21/20049/20048/20049 21/20049/20049/20049]</t>
    <phoneticPr fontId="3"/>
  </si>
  <si>
    <t>[21/20046/20046/21/20046 21/20046/20047/21/20046 21/20047/20046/21/20046 21/20047/20047/21/20046 21/20046/20046/21/20047 21/20046/20047/21/20047 21/20047/20046/21/20047 21/20047/20047/21/20047 21/20048/20048/21/20048 21/20048/20049/21/20048 21/20049/20048/21/20048 21/20049/20049/21/20048 21/20048/20048/21/20049 21/20048/20049/21/20049 21/20049/20048/21/20049 21/20049/20049/21/20049]</t>
    <phoneticPr fontId="3"/>
  </si>
  <si>
    <t>[11/40/40/11/40 11/40/40/11/41 11/40/40/11/42 11/40/40/11/43 11/40/41/11/40 11/40/41/11/41 11/40/41/11/42 11/40/41/11/43 11/41/40/11/40 11/41/40/11/41 11/41/40/11/42 11/41/40/11/43 11/41/41/11/40 11/41/41/11/41 11/41/41/11/42 11/41/41/11/43]</t>
    <phoneticPr fontId="3"/>
  </si>
  <si>
    <t>[11/0/41/11/40 11/0/41/11/41 11/1/41/11/40 11/1/41/11/41 11/0/40/11/40 11/0/40/11/41 11/1/40/11/40 11/1/40/11/41]</t>
    <phoneticPr fontId="3"/>
  </si>
  <si>
    <t>[11/2046/40/11/40 11/2046/40/11/41 11/2047/40/11/40 11/2047/40/11/41 11/2046/41/11/40 11/2046/41/11/41 11/2047/41/11/40 11/2047/41/11/41]</t>
    <phoneticPr fontId="3"/>
  </si>
  <si>
    <t>[11/40/40/11/40 11/41/40/11/40 11/40/41/11/40 11/41/41/11/40 11/40/40/11/41 11/41/40/11/41 11/40/41/11/41 11/41/41/11/41]</t>
    <phoneticPr fontId="3"/>
  </si>
  <si>
    <t>[11/40/40/40 11/41/40/40 11/40/41/40 11/41/41/40 11/40/40/41 11/41/40/41 11/40/41/41 11/41/41/41]</t>
    <phoneticPr fontId="3"/>
  </si>
  <si>
    <t xml:space="preserve">1. 引数に以下を指定して、integrate.ChangeExtendedSpatialIdsZoomを呼び出す。
　拡張空間ID：10/10/10/10/10
　水平方向精度： -1
　垂直方向精度： 11
</t>
    <rPh sb="60" eb="62">
      <t>カクチョウ</t>
    </rPh>
    <rPh sb="62" eb="64">
      <t>クウカン</t>
    </rPh>
    <rPh sb="83" eb="89">
      <t>スイヘイホウコウセイド</t>
    </rPh>
    <phoneticPr fontId="3"/>
  </si>
  <si>
    <t xml:space="preserve">1. 引数に以下を指定して、integrate.ChangeExtendedSpatialIdsZoomを呼び出す。
　拡張空間ID：10/10/10/10/10
　水平方向精度： 11
　垂直方向精度： 36
</t>
    <rPh sb="60" eb="62">
      <t>カクチョウ</t>
    </rPh>
    <rPh sb="62" eb="64">
      <t>クウカン</t>
    </rPh>
    <rPh sb="83" eb="89">
      <t>スイヘイホウコウセイド</t>
    </rPh>
    <phoneticPr fontId="3"/>
  </si>
  <si>
    <t xml:space="preserve">1. 引数に以下を指定して、integrate.ChangeExtendedSpatialIdsZoomを呼び出す。
　拡張空間ID：10/10/10/10/10
　水平方向精度： 11
　垂直方向精度： -1
</t>
    <rPh sb="60" eb="62">
      <t>カクチョウ</t>
    </rPh>
    <rPh sb="62" eb="64">
      <t>クウカン</t>
    </rPh>
    <rPh sb="83" eb="89">
      <t>スイヘイホウコウセイド</t>
    </rPh>
    <phoneticPr fontId="3"/>
  </si>
  <si>
    <t xml:space="preserve">1. 引数に以下を指定して、integrate.ChangeExtendedSpatialIdsZoomを呼び出す。
　拡張空間ID：10/10/10/10/10
　水平方向精度： 36
　垂直方向精度： 36
</t>
    <rPh sb="60" eb="62">
      <t>カクチョウ</t>
    </rPh>
    <rPh sb="62" eb="64">
      <t>クウカン</t>
    </rPh>
    <rPh sb="83" eb="89">
      <t>スイヘイホウコウセイド</t>
    </rPh>
    <phoneticPr fontId="3"/>
  </si>
  <si>
    <t xml:space="preserve">1. 引数に以下を指定して、integrate.ChangeExtendedSpatialIdsZoomを呼び出す。
　拡張空間ID：10/10/10/10/10
　水平方向精度： -1
　垂直方向精度： -1
</t>
    <rPh sb="60" eb="62">
      <t>カクチョウ</t>
    </rPh>
    <rPh sb="62" eb="64">
      <t>クウカン</t>
    </rPh>
    <rPh sb="83" eb="89">
      <t>スイヘイホウコウセイド</t>
    </rPh>
    <phoneticPr fontId="3"/>
  </si>
  <si>
    <t xml:space="preserve">1. 引数に以下を指定して、integrate.ChangeExtendedSpatialIdsZoomを呼び出す。
　拡張空間ID：10/10/10/10
　水平方向精度： 11
　垂直方向精度： 11
</t>
    <rPh sb="60" eb="62">
      <t>カクチョウ</t>
    </rPh>
    <rPh sb="62" eb="64">
      <t>クウカン</t>
    </rPh>
    <rPh sb="80" eb="86">
      <t>スイヘイホウコウセイド</t>
    </rPh>
    <phoneticPr fontId="3"/>
  </si>
  <si>
    <t xml:space="preserve">1. 引数に以下を指定して、integrate.ChangeExtendedSpatialIdsZoomを呼び出す。
　拡張空間ID：10/10/10/10/10/10
　水平方向精度： 11
　垂直方向精度： 11
</t>
    <rPh sb="60" eb="62">
      <t>カクチョウ</t>
    </rPh>
    <rPh sb="62" eb="64">
      <t>クウカン</t>
    </rPh>
    <rPh sb="86" eb="92">
      <t>スイヘイホウコウセイド</t>
    </rPh>
    <phoneticPr fontId="3"/>
  </si>
  <si>
    <t xml:space="preserve">1. 引数に以下を指定して、integrate.ChangeExtendedSpatialIdsZoomを呼び出す。
　拡張空間ID：10|10|10|10|10
　水平方向精度： 11
　垂直方向精度： 11
</t>
    <rPh sb="60" eb="62">
      <t>カクチョウ</t>
    </rPh>
    <rPh sb="62" eb="64">
      <t>クウカン</t>
    </rPh>
    <rPh sb="83" eb="89">
      <t>スイヘイホウコウセイド</t>
    </rPh>
    <phoneticPr fontId="3"/>
  </si>
  <si>
    <t xml:space="preserve">1. 引数に以下を指定して、integrate.ChangeExtendedSpatialIdsZoomを呼び出す。
　拡張空間ID：/10/10/10/10
　水平方向精度： 11
　垂直方向精度： 11
</t>
    <rPh sb="60" eb="62">
      <t>カクチョウ</t>
    </rPh>
    <rPh sb="62" eb="64">
      <t>クウカン</t>
    </rPh>
    <rPh sb="81" eb="87">
      <t>スイヘイホウコウセイド</t>
    </rPh>
    <phoneticPr fontId="3"/>
  </si>
  <si>
    <t xml:space="preserve">1. 引数に以下を指定して、integrate.ChangeExtendedSpatialIdsZoomを呼び出す。
　拡張空間ID：10/10/10//10
　水平方向精度： 11
　垂直方向精度： 11
</t>
    <rPh sb="60" eb="62">
      <t>カクチョウ</t>
    </rPh>
    <rPh sb="62" eb="64">
      <t>クウカン</t>
    </rPh>
    <rPh sb="81" eb="87">
      <t>スイヘイホウコウセイド</t>
    </rPh>
    <phoneticPr fontId="3"/>
  </si>
  <si>
    <t xml:space="preserve">1. 引数に以下を指定して、integrate.ChangeExtendedSpatialIdsZoomを呼び出す。
　拡張空間ID：10//10/10/10
　水平方向精度： 11
　垂直方向精度： 11
</t>
    <rPh sb="60" eb="62">
      <t>カクチョウ</t>
    </rPh>
    <rPh sb="62" eb="64">
      <t>クウカン</t>
    </rPh>
    <rPh sb="81" eb="87">
      <t>スイヘイホウコウセイド</t>
    </rPh>
    <phoneticPr fontId="3"/>
  </si>
  <si>
    <t xml:space="preserve">1. 引数に以下を指定して、integrate.ChangeExtendedSpatialIdsZoomを呼び出す。
　拡張空間ID：10/10//10/10
　水平方向精度： 11
　垂直方向精度： 11
</t>
    <rPh sb="60" eb="62">
      <t>カクチョウ</t>
    </rPh>
    <rPh sb="62" eb="64">
      <t>クウカン</t>
    </rPh>
    <rPh sb="81" eb="87">
      <t>スイヘイホウコウセイド</t>
    </rPh>
    <phoneticPr fontId="3"/>
  </si>
  <si>
    <t xml:space="preserve">1. 引数に以下を指定して、integrate.ChangeExtendedSpatialIdsZoomを呼び出す。
　拡張空間ID：10/10/10/10/
　水平方向精度： 11
　垂直方向精度： 11
</t>
    <rPh sb="60" eb="62">
      <t>カクチョウ</t>
    </rPh>
    <rPh sb="62" eb="64">
      <t>クウカン</t>
    </rPh>
    <rPh sb="81" eb="87">
      <t>スイヘイホウコウセイド</t>
    </rPh>
    <phoneticPr fontId="3"/>
  </si>
  <si>
    <t>■ 変換前拡張空間IDの複数入力 試験データパターン</t>
    <rPh sb="2" eb="4">
      <t>ヘンカン</t>
    </rPh>
    <rPh sb="4" eb="5">
      <t>マエ</t>
    </rPh>
    <rPh sb="5" eb="7">
      <t>カクチョウ</t>
    </rPh>
    <rPh sb="7" eb="9">
      <t>クウカン</t>
    </rPh>
    <rPh sb="12" eb="14">
      <t>フクスウ</t>
    </rPh>
    <rPh sb="14" eb="16">
      <t>ニュウリョク</t>
    </rPh>
    <rPh sb="17" eb="19">
      <t>シケン</t>
    </rPh>
    <phoneticPr fontId="32"/>
  </si>
  <si>
    <t>[21/20046/20046/21/20046 21/20046/20047/21/20046 21/20047/20046/21/20046 21/20047/20047/21/20046 21/20046/20046/21/20047 21/20046/20047/21/20047 21/20047/20046/21/20047 21/20047/20047/21/20047 21/20048/20048/21/20048 21/20048/20049/21/20048 21/20049/20048/21/20048 21/20049/20049/21/20048 21/20048/20048/21/20049 21/20048/20049/21/20049 21/20049/20048/21/20049 21/20049/20049/21/20049 21/20050/20050/21/20050 21/20051/20050/21/20050 21/20050/20051/21/20050 21/20051/20051/21/20050 21/20050/20050/21/20051 21/20051/20050/21/20051 21/20050/20051/21/20051 21/20051/20051/21/20051 21/20052/20052/21/20052 21/20053/20052/21/20052 21/20052/20053/21/20052 21/20053/20053/21/20052 21/20052/20052/21/20053 21/20053/20052/21/20053 21/20052/20053/21/20053 21/20053/20053/21/20053 21/20054/20054/21/20054 21/20055/20054/21/20054 21/20054/20055/21/20054 21/20055/20055/21/20054 21/20054/20054/21/20055 21/20055/20054/21/20055 21/20054/20055/21/20055 21/20055/20055/21/20055 21/20056/20056/21/20056 21/20057/20057/21/20057 21/20058/20058/21/20058 21/20059/20059/21/20059 21/20060/20060/21/20060]</t>
    <phoneticPr fontId="3"/>
  </si>
  <si>
    <t>[21/20046/20046/20046 21/20046/20046/20047 21/20046/20047/20046 21/20046/20047/20047 21/20047/20046/20046 21/20047/20046/20047 21/20047/20047/20046 21/20047/20047/20047 21/20048/20048/20048 21/20048/20048/20049 21/20048/20049/20048 21/20048/20049/20049 21/20049/20048/20048 21/20049/20048/20049 21/20049/20049/20048 21/20049/20049/20049 21/20050/20050/20050 21/20050/20051/20050 21/20050/20050/20051 21/20050/20051/20051 21/20051/20050/20050 21/20051/20051/20050 21/20051/20050/20051 21/20051/20051/20051 21/20052/20052/20052 21/20052/20053/20052 21/20052/20052/20053 21/20052/20053/20053 21/20053/20052/20052 21/20053/20053/20052 21/20053/20052/20053 21/20053/20053/20053 21/20054/20054/20054 21/20054/20055/20054 21/20054/20054/20055 21/20054/20055/20055 21/20055/20054/20054 21/20055/20055/20054 21/20055/20054/20055 21/20055/20055/20055 21/20056/20056/20056 21/20057/20057/20057 21/20058/20058/20058 21/20059/20059/20059 21/20060/20060/20060]</t>
    <phoneticPr fontId="3"/>
  </si>
  <si>
    <t>1. 引数に以下を指定して、integrate.ChangeSpatialIdsZoomを呼び出す。
　空間ID：25/200/1000/500, 26/200/1000/500, 27/200/1000/500
　精度： 26</t>
    <phoneticPr fontId="3"/>
  </si>
  <si>
    <t>・入力した座標パターンに対応した期待値が取得できること
・エラーインスタンスが返却されていないこと</t>
    <phoneticPr fontId="3"/>
  </si>
  <si>
    <t>期待値 - 変換後ID値※1</t>
    <rPh sb="0" eb="3">
      <t>キタイアタイ</t>
    </rPh>
    <rPh sb="6" eb="8">
      <t>ヘンカン</t>
    </rPh>
    <rPh sb="8" eb="9">
      <t>ゴ</t>
    </rPh>
    <rPh sb="11" eb="12">
      <t>アタイ</t>
    </rPh>
    <phoneticPr fontId="3"/>
  </si>
  <si>
    <t>期待値 - 変換後ID数</t>
    <rPh sb="0" eb="3">
      <t>キタイアタイ</t>
    </rPh>
    <rPh sb="6" eb="8">
      <t>ヘンカン</t>
    </rPh>
    <rPh sb="8" eb="9">
      <t>ゴ</t>
    </rPh>
    <rPh sb="11" eb="12">
      <t>スウ</t>
    </rPh>
    <phoneticPr fontId="3"/>
  </si>
  <si>
    <t>期待値 - 変換後ID値※1</t>
    <rPh sb="0" eb="2">
      <t>キタイ</t>
    </rPh>
    <rPh sb="2" eb="3">
      <t>アタイ</t>
    </rPh>
    <rPh sb="6" eb="9">
      <t>ヘンカンゴ</t>
    </rPh>
    <rPh sb="11" eb="12">
      <t>アタイ</t>
    </rPh>
    <phoneticPr fontId="3"/>
  </si>
  <si>
    <t>期待値 - 変換後ID数</t>
    <rPh sb="0" eb="2">
      <t>キタイ</t>
    </rPh>
    <rPh sb="2" eb="3">
      <t>アタイ</t>
    </rPh>
    <rPh sb="6" eb="9">
      <t>ヘンカンゴ</t>
    </rPh>
    <rPh sb="11" eb="12">
      <t>スウ</t>
    </rPh>
    <phoneticPr fontId="3"/>
  </si>
  <si>
    <t>・入力した座標パターンに対応した期待値が取得できること
・変換後の拡張空間ID数が期待値通りになっていること
・エラーインスタンスが返却されていないこと</t>
    <phoneticPr fontId="3"/>
  </si>
  <si>
    <t>水平方向精度: 2以上増加
垂直方向精度: 2以上増加</t>
    <rPh sb="0" eb="6">
      <t>スイヘイホウコウセイド</t>
    </rPh>
    <rPh sb="9" eb="13">
      <t>イジョウゾウカ</t>
    </rPh>
    <rPh sb="14" eb="20">
      <t>スイチョクホウコウセイド</t>
    </rPh>
    <rPh sb="23" eb="25">
      <t>イジョウ</t>
    </rPh>
    <rPh sb="25" eb="27">
      <t>ゾウカ</t>
    </rPh>
    <phoneticPr fontId="3"/>
  </si>
  <si>
    <t>水平方向精度: 2以上減少
垂直方向精度: 2以上減少</t>
    <rPh sb="0" eb="6">
      <t>スイヘイホウコウセイド</t>
    </rPh>
    <rPh sb="9" eb="11">
      <t>イジョウ</t>
    </rPh>
    <rPh sb="11" eb="13">
      <t>ゲンショウ</t>
    </rPh>
    <rPh sb="14" eb="20">
      <t>スイチョクホウコウセイド</t>
    </rPh>
    <rPh sb="23" eb="25">
      <t>イジョウ</t>
    </rPh>
    <rPh sb="25" eb="27">
      <t>ゲンショウ</t>
    </rPh>
    <phoneticPr fontId="3"/>
  </si>
  <si>
    <t>1. 引数に以下を指定して、integrate.ChangeExtendedSpatialIdsZoomを呼び出す。
　"【別紙1】変換前後の精度差パターン"シート"拡張空間ID試験データ"のNo.11の「変換前拡張空間ID」「変換後水平方向精度」「変換後水平方向精度」</t>
    <phoneticPr fontId="3"/>
  </si>
  <si>
    <t>1. 引数に以下を指定して、integrate.ChangeExtendedSpatialIdsZoomを呼び出す。
　"【別紙1】変換前後の精度差パターン"シート"拡張空間ID試験データ"のNo.10の「変換前拡張空間ID」「変換後水平方向精度」「変換後水平方向精度」</t>
    <phoneticPr fontId="3"/>
  </si>
  <si>
    <t>・入力した座標パターンに対応した期待値が取得できること
・変換後の拡張空間ID数が期待値通りになっていること
・エラーインスタンスが返却されていないこと</t>
    <phoneticPr fontId="3"/>
  </si>
  <si>
    <t>精度: 2以上増加</t>
    <rPh sb="0" eb="2">
      <t>セイド</t>
    </rPh>
    <rPh sb="5" eb="9">
      <t>イジョウゾウカ</t>
    </rPh>
    <phoneticPr fontId="3"/>
  </si>
  <si>
    <t>精度: 2以上減少</t>
    <rPh sb="0" eb="2">
      <t>セイド</t>
    </rPh>
    <rPh sb="5" eb="7">
      <t>イジョウ</t>
    </rPh>
    <rPh sb="7" eb="9">
      <t>ゲンショウ</t>
    </rPh>
    <phoneticPr fontId="3"/>
  </si>
  <si>
    <t>[8/5/5/8/5]</t>
    <phoneticPr fontId="3"/>
  </si>
  <si>
    <t>12/80/80/12/80 12/80/81/12/80 12/80/82/12/80 12/80/83/12/80 12/81/80/12/80 12/81/81/12/80 12/81/82/12/80 12/81/83/12/80 12/82/80/12/80 12/82/81/12/80 12/82/82/12/80 12/82/83/12/80 12/83/80/12/80 12/83/81/12/80 12/83/82/12/80 12/83/83/12/80 12/80/80/12/81 12/80/81/12/81 12/80/82/12/81 12/80/83/12/81 12/81/80/12/81 12/81/81/12/81 12/81/82/12/81 12/81/83/12/81 12/82/80/12/81 12/82/81/12/81 12/82/82/12/81 12/82/83/12/81 12/83/80/12/81 12/83/81/12/81 12/83/82/12/81 12/83/83/12/81 12/80/80/12/82 12/80/81/12/82 12/80/82/12/82 12/80/83/12/82 12/81/80/12/82 12/81/81/12/82 12/81/82/12/82 12/81/83/12/82 12/82/80/12/82 12/82/81/12/82 12/82/82/12/82 12/82/83/12/82 12/83/80/12/82 12/83/81/12/82 12/83/82/12/82 12/83/83/12/82 12/80/80/12/83 12/80/81/12/83 12/80/82/12/83 12/80/83/12/83 12/81/80/12/83 12/81/81/12/83 12/81/82/12/83 12/81/83/12/83 12/82/80/12/83 12/82/81/12/83 12/82/82/12/83 12/82/83/12/83 12/83/80/12/83 12/83/81/12/83 12/83/82/12/83 12/83/83/12/83</t>
    <phoneticPr fontId="3"/>
  </si>
  <si>
    <t>[12/80/80/80 12/80/80/81 12/80/80/82 12/80/80/83 12/80/81/80 12/80/81/81 12/80/81/82 12/80/81/83 12/80/82/80 12/80/82/81 12/80/82/82 12/80/82/83 12/80/83/80 12/80/83/81 12/80/83/82 12/80/83/83 12/81/80/80 12/81/80/81 12/81/80/82 12/81/80/83 12/81/81/80 12/81/81/81 12/81/81/82 12/81/81/83 12/81/82/80 12/81/82/81 12/81/82/82 12/81/82/83 12/81/83/80 12/81/83/81 12/81/83/82 12/81/83/83 12/82/80/80 12/82/80/81 12/82/80/82 12/82/80/83 12/82/81/80 12/82/81/81 12/82/81/82 12/82/81/83 12/82/82/80 12/82/82/81 12/82/82/82 12/82/82/83 12/82/83/80 12/82/83/81 12/82/83/82 12/82/83/83 12/83/80/80 12/83/80/81 12/83/80/82 12/83/80/83 12/83/81/80 12/83/81/81 12/83/81/82 12/83/81/83 12/83/82/80 12/83/82/81 12/83/82/82 12/83/82/83 12/83/83/80 12/83/83/81 12/83/83/82 12/83/83/83]</t>
    <phoneticPr fontId="3"/>
  </si>
  <si>
    <t>精度: 2以上増加</t>
    <phoneticPr fontId="3"/>
  </si>
  <si>
    <t>精度: 2以上減少</t>
    <rPh sb="7" eb="9">
      <t>ゲンショウ</t>
    </rPh>
    <phoneticPr fontId="3"/>
  </si>
  <si>
    <t>1. 引数に以下を指定して、integrate.ChangeSpatialIdsZoomを呼び出す。
　"【別紙1】変換前後の精度差パターン"シート"空間ID試験データ"のNo.4の「変換前拡張空間ID」「変換後水平方向精度」「変換後水平方向精度」</t>
    <phoneticPr fontId="3"/>
  </si>
  <si>
    <t>1. 引数に以下を指定して、integrate.ChangeSpatialIdsZoomを呼び出す。
　"【別紙1】変換前後の精度差パターン"シート"空間ID試験データ"のNo.5の「変換前拡張空間ID」「変換後水平方向精度」「変換後水平方向精度」</t>
    <phoneticPr fontId="3"/>
  </si>
  <si>
    <t xml:space="preserve">1. 引数に以下を指定して、integrate.ChangeSpatialIdsZoomを呼び出す。
　空間ID：0/0/0/0
　精度: 1
</t>
    <rPh sb="66" eb="68">
      <t>セイド</t>
    </rPh>
    <phoneticPr fontId="3"/>
  </si>
  <si>
    <t>・以下の空間IDが取得できること
[1/0/1/1,
 1/1/1/1,
 1/0/0/0,
 1/1/0/0,
 1/0/1/0,
 1/1/1/0,
 1/0/0/1,
 1/1/0/1]
・エラーインスタンスが返却されていないこと</t>
    <rPh sb="1" eb="3">
      <t>イカ</t>
    </rPh>
    <rPh sb="4" eb="6">
      <t>クウカン</t>
    </rPh>
    <rPh sb="9" eb="11">
      <t>シュトク</t>
    </rPh>
    <phoneticPr fontId="3"/>
  </si>
  <si>
    <t>[8/5/5/5]</t>
    <phoneticPr fontId="3"/>
  </si>
  <si>
    <t>宮原</t>
    <rPh sb="0" eb="2">
      <t>ミヤハラ</t>
    </rPh>
    <phoneticPr fontId="3"/>
  </si>
  <si>
    <t>OK</t>
  </si>
  <si>
    <t>・入力した座標パターンに対応した期待値が取得できること
・変換後の拡張空間ID数が期待値通りになっていること
・エラーインスタンスが返却されていないこと</t>
    <rPh sb="29" eb="32">
      <t>ヘンカンゴ</t>
    </rPh>
    <rPh sb="33" eb="37">
      <t>カクチョウクウカン</t>
    </rPh>
    <rPh sb="39" eb="40">
      <t>スウ</t>
    </rPh>
    <rPh sb="41" eb="44">
      <t>キタイアタイ</t>
    </rPh>
    <rPh sb="44" eb="45">
      <t>ドオ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</si>
</sst>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m/d"/>
    <numFmt numFmtId="177" formatCode="#,##0;\-#,##0;&quot;-&quot;"/>
    <numFmt numFmtId="178" formatCode="[$-411]ggge&quot;年&quot;m&quot;月&quot;d&quot;日&quot;;@"/>
    <numFmt numFmtId="179" formatCode="0.00_ "/>
    <numFmt numFmtId="180" formatCode="&quot;$&quot;#,##0_);\(&quot;$&quot;#,##0\)"/>
    <numFmt numFmtId="181" formatCode="&quot;¥&quot;&quot;¥&quot;&quot;¥&quot;&quot;¥&quot;&quot;¥&quot;&quot;¥&quot;&quot;¥&quot;\$#,##0_);[Red]&quot;¥&quot;&quot;¥&quot;&quot;¥&quot;&quot;¥&quot;&quot;¥&quot;&quot;¥&quot;&quot;¥&quot;\(&quot;¥&quot;&quot;¥&quot;&quot;¥&quot;&quot;¥&quot;&quot;¥&quot;&quot;¥&quot;&quot;¥&quot;\$#,##0&quot;¥&quot;&quot;¥&quot;&quot;¥&quot;&quot;¥&quot;&quot;¥&quot;&quot;¥&quot;&quot;¥&quot;\)"/>
    <numFmt numFmtId="182" formatCode="&quot;$&quot;#,##0_);[Red]\(&quot;$&quot;#,##0\)"/>
    <numFmt numFmtId="183" formatCode="&quot;$&quot;#,##0.00_);[Red]\(&quot;$&quot;#,##0.00\)"/>
    <numFmt numFmtId="184" formatCode="_ * #,##0_ ;_ * &quot;¥&quot;&quot;¥&quot;&quot;¥&quot;&quot;¥&quot;&quot;¥&quot;&quot;¥&quot;\-#,##0_ ;_ * &quot;-&quot;_ ;_ @_ "/>
    <numFmt numFmtId="185" formatCode="_ * #,##0.00_ ;_ * &quot;¥&quot;&quot;¥&quot;&quot;¥&quot;&quot;¥&quot;&quot;¥&quot;&quot;¥&quot;\-#,##0.00_ ;_ * &quot;-&quot;??_ ;_ @_ "/>
    <numFmt numFmtId="186" formatCode="0.00_)"/>
    <numFmt numFmtId="187" formatCode="#,##0_ ;[Red]\-#,##0\ "/>
    <numFmt numFmtId="188" formatCode="0_ ;[Red]\-0\ "/>
    <numFmt numFmtId="189" formatCode="0_);\(0\)"/>
    <numFmt numFmtId="190" formatCode="#,##0_ "/>
    <numFmt numFmtId="191" formatCode="[$-F800]dddd\,\ mmmm\ dd\,\ yyyy"/>
  </numFmts>
  <fonts count="3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8"/>
      <name val="ＭＳ 明朝"/>
      <family val="1"/>
      <charset val="128"/>
    </font>
    <font>
      <sz val="11"/>
      <name val="ＭＳ 明朝"/>
      <family val="1"/>
      <charset val="128"/>
    </font>
    <font>
      <b/>
      <sz val="22"/>
      <name val="ＭＳ 明朝"/>
      <family val="1"/>
      <charset val="128"/>
    </font>
    <font>
      <b/>
      <sz val="24"/>
      <name val="ＭＳ 明朝"/>
      <family val="1"/>
      <charset val="128"/>
    </font>
    <font>
      <sz val="18"/>
      <name val="ＭＳ 明朝"/>
      <family val="1"/>
      <charset val="128"/>
    </font>
    <font>
      <sz val="14"/>
      <name val="ＭＳ 明朝"/>
      <family val="1"/>
      <charset val="128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ＭＳ 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b/>
      <i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9"/>
      <color theme="1"/>
      <name val="ＭＳ Ｐゴシック"/>
      <family val="2"/>
      <charset val="128"/>
      <scheme val="minor"/>
    </font>
    <font>
      <b/>
      <sz val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lightGray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180" fontId="20" fillId="0" borderId="1" applyAlignment="0" applyProtection="0"/>
    <xf numFmtId="177" fontId="7" fillId="0" borderId="0" applyFill="0" applyBorder="0" applyAlignment="0"/>
    <xf numFmtId="38" fontId="21" fillId="0" borderId="0" applyFont="0" applyFill="0" applyBorder="0" applyAlignment="0" applyProtection="0"/>
    <xf numFmtId="181" fontId="22" fillId="0" borderId="0"/>
    <xf numFmtId="182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4" fontId="22" fillId="0" borderId="0"/>
    <xf numFmtId="185" fontId="22" fillId="0" borderId="0"/>
    <xf numFmtId="0" fontId="8" fillId="0" borderId="0">
      <alignment horizontal="left"/>
    </xf>
    <xf numFmtId="38" fontId="23" fillId="2" borderId="0" applyNumberFormat="0" applyBorder="0" applyAlignment="0" applyProtection="0"/>
    <xf numFmtId="0" fontId="9" fillId="0" borderId="2" applyNumberFormat="0" applyAlignment="0" applyProtection="0">
      <alignment horizontal="left" vertical="center"/>
    </xf>
    <xf numFmtId="0" fontId="9" fillId="0" borderId="3">
      <alignment horizontal="left" vertical="center"/>
    </xf>
    <xf numFmtId="10" fontId="23" fillId="3" borderId="4" applyNumberFormat="0" applyBorder="0" applyAlignment="0" applyProtection="0"/>
    <xf numFmtId="186" fontId="24" fillId="0" borderId="0"/>
    <xf numFmtId="0" fontId="10" fillId="0" borderId="0"/>
    <xf numFmtId="10" fontId="10" fillId="0" borderId="0" applyFont="0" applyFill="0" applyBorder="0" applyAlignment="0" applyProtection="0"/>
    <xf numFmtId="4" fontId="8" fillId="0" borderId="0">
      <alignment horizontal="right"/>
    </xf>
    <xf numFmtId="0" fontId="21" fillId="0" borderId="0" applyNumberFormat="0" applyFont="0" applyFill="0" applyBorder="0" applyAlignment="0" applyProtection="0">
      <alignment horizontal="left"/>
    </xf>
    <xf numFmtId="0" fontId="20" fillId="0" borderId="5">
      <alignment horizontal="center"/>
    </xf>
    <xf numFmtId="4" fontId="11" fillId="0" borderId="0">
      <alignment horizontal="right"/>
    </xf>
    <xf numFmtId="0" fontId="12" fillId="0" borderId="0">
      <alignment horizontal="left"/>
    </xf>
    <xf numFmtId="0" fontId="13" fillId="0" borderId="0">
      <alignment horizontal="center"/>
    </xf>
    <xf numFmtId="187" fontId="4" fillId="0" borderId="0" applyBorder="0">
      <alignment horizontal="right"/>
    </xf>
    <xf numFmtId="49" fontId="1" fillId="0" borderId="0" applyFont="0"/>
    <xf numFmtId="188" fontId="4" fillId="0" borderId="0" applyFill="0" applyBorder="0"/>
    <xf numFmtId="187" fontId="4" fillId="0" borderId="0" applyFill="0" applyBorder="0"/>
    <xf numFmtId="189" fontId="4" fillId="0" borderId="0" applyBorder="0">
      <alignment horizontal="left"/>
    </xf>
    <xf numFmtId="49" fontId="4" fillId="4" borderId="6">
      <alignment horizontal="center"/>
    </xf>
    <xf numFmtId="190" fontId="4" fillId="4" borderId="6">
      <alignment horizontal="right"/>
    </xf>
    <xf numFmtId="14" fontId="4" fillId="4" borderId="0" applyBorder="0">
      <alignment horizontal="center"/>
    </xf>
    <xf numFmtId="49" fontId="4" fillId="0" borderId="6"/>
    <xf numFmtId="14" fontId="4" fillId="0" borderId="7" applyBorder="0">
      <alignment horizontal="left"/>
    </xf>
    <xf numFmtId="14" fontId="4" fillId="0" borderId="0" applyFill="0" applyBorder="0"/>
    <xf numFmtId="0" fontId="1" fillId="0" borderId="0"/>
    <xf numFmtId="0" fontId="26" fillId="0" borderId="0">
      <alignment vertical="center"/>
    </xf>
    <xf numFmtId="0" fontId="1" fillId="0" borderId="0">
      <alignment vertical="center"/>
    </xf>
    <xf numFmtId="49" fontId="4" fillId="0" borderId="0"/>
    <xf numFmtId="0" fontId="19" fillId="0" borderId="0"/>
    <xf numFmtId="0" fontId="25" fillId="5" borderId="0">
      <alignment horizontal="center"/>
    </xf>
    <xf numFmtId="0" fontId="1" fillId="0" borderId="0"/>
    <xf numFmtId="0" fontId="1" fillId="0" borderId="0"/>
    <xf numFmtId="0" fontId="27" fillId="0" borderId="0"/>
    <xf numFmtId="0" fontId="28" fillId="0" borderId="0">
      <alignment vertical="center"/>
    </xf>
  </cellStyleXfs>
  <cellXfs count="165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14" fillId="4" borderId="0" xfId="36" applyFont="1" applyFill="1" applyBorder="1" applyAlignment="1">
      <alignment horizontal="center" vertical="top" wrapText="1"/>
    </xf>
    <xf numFmtId="0" fontId="14" fillId="4" borderId="9" xfId="36" applyFont="1" applyFill="1" applyBorder="1" applyAlignment="1">
      <alignment horizontal="center" vertical="center" wrapText="1"/>
    </xf>
    <xf numFmtId="0" fontId="14" fillId="4" borderId="9" xfId="36" applyFont="1" applyFill="1" applyBorder="1" applyAlignment="1">
      <alignment horizontal="center" vertical="top" wrapText="1"/>
    </xf>
    <xf numFmtId="0" fontId="14" fillId="4" borderId="9" xfId="36" applyFont="1" applyFill="1" applyBorder="1" applyAlignment="1">
      <alignment vertical="top" wrapText="1"/>
    </xf>
    <xf numFmtId="14" fontId="14" fillId="4" borderId="9" xfId="36" applyNumberFormat="1" applyFont="1" applyFill="1" applyBorder="1" applyAlignment="1">
      <alignment horizontal="left" vertical="center" wrapText="1"/>
    </xf>
    <xf numFmtId="0" fontId="14" fillId="4" borderId="0" xfId="36" applyFont="1" applyFill="1" applyBorder="1" applyAlignment="1">
      <alignment vertical="top" wrapText="1"/>
    </xf>
    <xf numFmtId="0" fontId="14" fillId="4" borderId="0" xfId="36" applyFont="1" applyFill="1" applyBorder="1" applyAlignment="1">
      <alignment horizontal="center" vertical="center" wrapText="1"/>
    </xf>
    <xf numFmtId="14" fontId="14" fillId="4" borderId="0" xfId="36" applyNumberFormat="1" applyFont="1" applyFill="1" applyBorder="1" applyAlignment="1">
      <alignment horizontal="left" vertical="center" wrapText="1"/>
    </xf>
    <xf numFmtId="176" fontId="14" fillId="4" borderId="0" xfId="36" applyNumberFormat="1" applyFont="1" applyFill="1" applyBorder="1" applyAlignment="1">
      <alignment horizontal="center" vertical="top" wrapText="1"/>
    </xf>
    <xf numFmtId="57" fontId="14" fillId="4" borderId="0" xfId="36" applyNumberFormat="1" applyFont="1" applyFill="1" applyBorder="1" applyAlignment="1">
      <alignment horizontal="center" vertical="top" wrapText="1"/>
    </xf>
    <xf numFmtId="0" fontId="14" fillId="4" borderId="0" xfId="34" applyFont="1" applyFill="1" applyBorder="1" applyAlignment="1">
      <alignment horizontal="center" vertical="top" wrapText="1"/>
    </xf>
    <xf numFmtId="0" fontId="14" fillId="4" borderId="0" xfId="34" applyFont="1" applyFill="1" applyBorder="1" applyAlignment="1">
      <alignment horizontal="left" vertical="top" wrapText="1"/>
    </xf>
    <xf numFmtId="0" fontId="15" fillId="4" borderId="0" xfId="34" applyFont="1" applyFill="1" applyBorder="1" applyAlignment="1">
      <alignment vertical="top" wrapText="1"/>
    </xf>
    <xf numFmtId="14" fontId="14" fillId="4" borderId="0" xfId="36" applyNumberFormat="1" applyFont="1" applyFill="1" applyBorder="1" applyAlignment="1">
      <alignment horizontal="center" vertical="center" wrapText="1"/>
    </xf>
    <xf numFmtId="0" fontId="16" fillId="4" borderId="0" xfId="34" applyFont="1" applyFill="1" applyBorder="1" applyAlignment="1">
      <alignment vertical="center" wrapText="1"/>
    </xf>
    <xf numFmtId="0" fontId="14" fillId="4" borderId="0" xfId="34" applyFont="1" applyFill="1" applyBorder="1" applyAlignment="1">
      <alignment vertical="top" wrapText="1"/>
    </xf>
    <xf numFmtId="0" fontId="14" fillId="4" borderId="0" xfId="36" applyFont="1" applyFill="1" applyBorder="1" applyAlignment="1">
      <alignment vertical="top"/>
    </xf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6" borderId="0" xfId="0" applyFont="1" applyFill="1"/>
    <xf numFmtId="0" fontId="2" fillId="6" borderId="4" xfId="0" applyFont="1" applyFill="1" applyBorder="1" applyAlignment="1">
      <alignment horizontal="left" vertical="top" wrapText="1"/>
    </xf>
    <xf numFmtId="14" fontId="2" fillId="6" borderId="8" xfId="0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top" wrapText="1"/>
    </xf>
    <xf numFmtId="0" fontId="2" fillId="6" borderId="8" xfId="0" applyFont="1" applyFill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30" fillId="0" borderId="0" xfId="0" applyFont="1"/>
    <xf numFmtId="0" fontId="0" fillId="0" borderId="8" xfId="0" applyBorder="1" applyAlignment="1">
      <alignment vertical="top" wrapText="1"/>
    </xf>
    <xf numFmtId="0" fontId="14" fillId="4" borderId="0" xfId="36" applyFont="1" applyFill="1" applyAlignment="1">
      <alignment vertical="top" wrapText="1"/>
    </xf>
    <xf numFmtId="178" fontId="15" fillId="0" borderId="4" xfId="36" applyNumberFormat="1" applyFont="1" applyBorder="1">
      <alignment vertical="center"/>
    </xf>
    <xf numFmtId="179" fontId="15" fillId="0" borderId="4" xfId="36" applyNumberFormat="1" applyFont="1" applyBorder="1" applyAlignment="1">
      <alignment horizontal="center" vertical="center"/>
    </xf>
    <xf numFmtId="0" fontId="15" fillId="0" borderId="4" xfId="36" applyFont="1" applyBorder="1">
      <alignment vertical="center"/>
    </xf>
    <xf numFmtId="0" fontId="2" fillId="6" borderId="4" xfId="0" applyFont="1" applyFill="1" applyBorder="1" applyAlignment="1">
      <alignment horizontal="center"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2" fillId="0" borderId="12" xfId="0" applyFont="1" applyFill="1" applyBorder="1" applyAlignment="1">
      <alignment horizontal="center"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13" xfId="0" applyBorder="1" applyAlignment="1">
      <alignment horizontal="right"/>
    </xf>
    <xf numFmtId="0" fontId="29" fillId="7" borderId="11" xfId="0" applyFont="1" applyFill="1" applyBorder="1" applyAlignment="1">
      <alignment horizontal="center" vertical="center" wrapText="1"/>
    </xf>
    <xf numFmtId="0" fontId="29" fillId="7" borderId="10" xfId="0" applyFont="1" applyFill="1" applyBorder="1" applyAlignment="1">
      <alignment horizontal="center" vertical="center" wrapText="1"/>
    </xf>
    <xf numFmtId="0" fontId="29" fillId="7" borderId="16" xfId="0" applyFont="1" applyFill="1" applyBorder="1" applyAlignment="1">
      <alignment horizontal="center" vertical="center" wrapText="1"/>
    </xf>
    <xf numFmtId="0" fontId="15" fillId="7" borderId="4" xfId="36" applyFont="1" applyFill="1" applyBorder="1">
      <alignment vertical="center"/>
    </xf>
    <xf numFmtId="0" fontId="15" fillId="7" borderId="4" xfId="36" applyFont="1" applyFill="1" applyBorder="1" applyAlignment="1">
      <alignment horizontal="center" vertical="center"/>
    </xf>
    <xf numFmtId="191" fontId="15" fillId="0" borderId="4" xfId="36" applyNumberFormat="1" applyFont="1" applyBorder="1">
      <alignment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0" fillId="0" borderId="28" xfId="0" applyBorder="1"/>
    <xf numFmtId="0" fontId="0" fillId="0" borderId="29" xfId="0" applyBorder="1"/>
    <xf numFmtId="0" fontId="0" fillId="0" borderId="4" xfId="0" applyBorder="1"/>
    <xf numFmtId="0" fontId="0" fillId="0" borderId="3" xfId="0" applyBorder="1"/>
    <xf numFmtId="0" fontId="0" fillId="0" borderId="0" xfId="0" applyBorder="1"/>
    <xf numFmtId="0" fontId="0" fillId="0" borderId="30" xfId="0" applyBorder="1" applyAlignment="1">
      <alignment wrapText="1"/>
    </xf>
    <xf numFmtId="0" fontId="31" fillId="8" borderId="4" xfId="0" applyFont="1" applyFill="1" applyBorder="1"/>
    <xf numFmtId="0" fontId="31" fillId="8" borderId="30" xfId="0" applyFont="1" applyFill="1" applyBorder="1"/>
    <xf numFmtId="0" fontId="31" fillId="8" borderId="31" xfId="0" applyFont="1" applyFill="1" applyBorder="1"/>
    <xf numFmtId="0" fontId="31" fillId="8" borderId="3" xfId="0" applyFont="1" applyFill="1" applyBorder="1"/>
    <xf numFmtId="0" fontId="31" fillId="6" borderId="0" xfId="34" applyFont="1" applyFill="1"/>
    <xf numFmtId="0" fontId="31" fillId="0" borderId="0" xfId="0" applyFont="1"/>
    <xf numFmtId="0" fontId="0" fillId="0" borderId="0" xfId="0" applyAlignment="1">
      <alignment wrapText="1"/>
    </xf>
    <xf numFmtId="0" fontId="0" fillId="0" borderId="0" xfId="0" applyFill="1" applyBorder="1"/>
    <xf numFmtId="0" fontId="0" fillId="0" borderId="32" xfId="0" applyBorder="1"/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3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1" xfId="0" applyBorder="1" applyAlignment="1">
      <alignment horizontal="left"/>
    </xf>
    <xf numFmtId="0" fontId="31" fillId="0" borderId="0" xfId="0" applyFont="1" applyFill="1" applyBorder="1"/>
    <xf numFmtId="0" fontId="0" fillId="0" borderId="0" xfId="0" applyFill="1" applyBorder="1" applyAlignment="1">
      <alignment wrapText="1"/>
    </xf>
    <xf numFmtId="0" fontId="2" fillId="0" borderId="8" xfId="0" applyFont="1" applyFill="1" applyBorder="1" applyAlignment="1">
      <alignment horizontal="left" vertical="top" wrapText="1"/>
    </xf>
    <xf numFmtId="0" fontId="0" fillId="0" borderId="3" xfId="0" applyBorder="1" applyAlignment="1">
      <alignment vertical="top"/>
    </xf>
    <xf numFmtId="0" fontId="0" fillId="0" borderId="3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4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 wrapText="1"/>
    </xf>
    <xf numFmtId="0" fontId="31" fillId="9" borderId="3" xfId="0" applyFont="1" applyFill="1" applyBorder="1"/>
    <xf numFmtId="0" fontId="31" fillId="9" borderId="31" xfId="0" applyFont="1" applyFill="1" applyBorder="1"/>
    <xf numFmtId="0" fontId="31" fillId="9" borderId="30" xfId="0" applyFont="1" applyFill="1" applyBorder="1"/>
    <xf numFmtId="0" fontId="2" fillId="6" borderId="8" xfId="0" applyFont="1" applyFill="1" applyBorder="1" applyAlignment="1">
      <alignment horizontal="center" vertical="top" wrapText="1"/>
    </xf>
    <xf numFmtId="0" fontId="5" fillId="7" borderId="33" xfId="0" applyFont="1" applyFill="1" applyBorder="1" applyAlignment="1">
      <alignment horizontal="center" vertical="center" wrapText="1"/>
    </xf>
    <xf numFmtId="0" fontId="5" fillId="7" borderId="34" xfId="0" applyFont="1" applyFill="1" applyBorder="1" applyAlignment="1">
      <alignment horizontal="center" vertical="center" wrapText="1"/>
    </xf>
    <xf numFmtId="0" fontId="5" fillId="7" borderId="35" xfId="0" applyFont="1" applyFill="1" applyBorder="1" applyAlignment="1">
      <alignment horizontal="center" vertical="center" wrapText="1"/>
    </xf>
    <xf numFmtId="14" fontId="5" fillId="7" borderId="34" xfId="0" applyNumberFormat="1" applyFont="1" applyFill="1" applyBorder="1" applyAlignment="1">
      <alignment horizontal="center" vertical="center"/>
    </xf>
    <xf numFmtId="0" fontId="5" fillId="7" borderId="34" xfId="0" applyNumberFormat="1" applyFont="1" applyFill="1" applyBorder="1" applyAlignment="1">
      <alignment horizontal="center" vertical="center" wrapText="1"/>
    </xf>
    <xf numFmtId="0" fontId="5" fillId="7" borderId="36" xfId="0" applyFont="1" applyFill="1" applyBorder="1" applyAlignment="1">
      <alignment horizontal="center" vertical="center" wrapText="1"/>
    </xf>
    <xf numFmtId="0" fontId="14" fillId="4" borderId="9" xfId="36" applyFont="1" applyFill="1" applyBorder="1" applyAlignment="1">
      <alignment horizontal="center" vertical="center" wrapText="1"/>
    </xf>
    <xf numFmtId="0" fontId="14" fillId="4" borderId="0" xfId="36" applyFont="1" applyFill="1" applyBorder="1" applyAlignment="1">
      <alignment horizontal="center" vertical="center" wrapText="1"/>
    </xf>
    <xf numFmtId="0" fontId="14" fillId="4" borderId="9" xfId="36" applyFont="1" applyFill="1" applyBorder="1" applyAlignment="1">
      <alignment vertical="center" wrapText="1"/>
    </xf>
    <xf numFmtId="0" fontId="14" fillId="4" borderId="0" xfId="36" applyFont="1" applyFill="1" applyBorder="1" applyAlignment="1">
      <alignment vertical="center" wrapText="1"/>
    </xf>
    <xf numFmtId="0" fontId="14" fillId="4" borderId="0" xfId="36" applyFont="1" applyFill="1" applyBorder="1" applyAlignment="1">
      <alignment horizontal="left" vertical="top" wrapText="1"/>
    </xf>
    <xf numFmtId="0" fontId="15" fillId="4" borderId="0" xfId="34" applyFont="1" applyFill="1" applyBorder="1" applyAlignment="1">
      <alignment horizontal="left" vertical="top" wrapText="1"/>
    </xf>
    <xf numFmtId="0" fontId="16" fillId="0" borderId="0" xfId="34" applyFont="1" applyFill="1" applyBorder="1" applyAlignment="1">
      <alignment horizontal="center" vertical="center" wrapText="1"/>
    </xf>
    <xf numFmtId="191" fontId="18" fillId="4" borderId="0" xfId="34" applyNumberFormat="1" applyFont="1" applyFill="1" applyBorder="1" applyAlignment="1">
      <alignment horizontal="center" vertical="center" wrapText="1"/>
    </xf>
    <xf numFmtId="0" fontId="17" fillId="4" borderId="0" xfId="34" applyFont="1" applyFill="1" applyBorder="1" applyAlignment="1">
      <alignment horizontal="center" vertical="center" wrapText="1"/>
    </xf>
    <xf numFmtId="0" fontId="16" fillId="4" borderId="0" xfId="34" applyFont="1" applyFill="1" applyBorder="1" applyAlignment="1">
      <alignment horizontal="center" vertical="center" wrapText="1"/>
    </xf>
    <xf numFmtId="0" fontId="18" fillId="4" borderId="0" xfId="34" applyFont="1" applyFill="1" applyBorder="1" applyAlignment="1">
      <alignment horizontal="center" vertical="center" wrapText="1"/>
    </xf>
    <xf numFmtId="0" fontId="31" fillId="7" borderId="11" xfId="0" applyFont="1" applyFill="1" applyBorder="1" applyAlignment="1">
      <alignment vertical="top" wrapText="1"/>
    </xf>
    <xf numFmtId="0" fontId="31" fillId="7" borderId="10" xfId="0" applyFont="1" applyFill="1" applyBorder="1" applyAlignment="1">
      <alignment vertical="top" wrapText="1"/>
    </xf>
    <xf numFmtId="0" fontId="31" fillId="7" borderId="16" xfId="0" applyFont="1" applyFill="1" applyBorder="1" applyAlignment="1">
      <alignment vertical="top" wrapText="1"/>
    </xf>
    <xf numFmtId="0" fontId="31" fillId="7" borderId="17" xfId="0" applyFont="1" applyFill="1" applyBorder="1" applyAlignment="1">
      <alignment vertical="top" wrapText="1"/>
    </xf>
    <xf numFmtId="0" fontId="31" fillId="7" borderId="14" xfId="0" applyFont="1" applyFill="1" applyBorder="1" applyAlignment="1">
      <alignment vertical="top" wrapText="1"/>
    </xf>
    <xf numFmtId="0" fontId="31" fillId="7" borderId="18" xfId="0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28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0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1" fillId="0" borderId="0" xfId="0" applyFont="1"/>
    <xf numFmtId="0" fontId="1" fillId="0" borderId="0" xfId="0" applyFont="1" applyBorder="1"/>
    <xf numFmtId="0" fontId="1" fillId="9" borderId="31" xfId="0" applyFont="1" applyFill="1" applyBorder="1"/>
    <xf numFmtId="0" fontId="1" fillId="0" borderId="4" xfId="0" applyFont="1" applyBorder="1"/>
    <xf numFmtId="0" fontId="1" fillId="0" borderId="30" xfId="0" applyFont="1" applyBorder="1" applyAlignment="1">
      <alignment wrapText="1"/>
    </xf>
    <xf numFmtId="0" fontId="1" fillId="0" borderId="30" xfId="0" applyFont="1" applyBorder="1"/>
    <xf numFmtId="0" fontId="1" fillId="0" borderId="3" xfId="0" applyFont="1" applyBorder="1"/>
    <xf numFmtId="0" fontId="1" fillId="0" borderId="31" xfId="0" applyFont="1" applyBorder="1"/>
    <xf numFmtId="0" fontId="1" fillId="0" borderId="3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0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31" xfId="0" applyFont="1" applyBorder="1" applyAlignment="1">
      <alignment wrapText="1"/>
    </xf>
    <xf numFmtId="0" fontId="1" fillId="0" borderId="3" xfId="0" applyFont="1" applyBorder="1" applyAlignment="1">
      <alignment vertical="top"/>
    </xf>
    <xf numFmtId="0" fontId="1" fillId="0" borderId="3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9" borderId="3" xfId="0" applyFont="1" applyFill="1" applyBorder="1"/>
    <xf numFmtId="0" fontId="1" fillId="0" borderId="28" xfId="0" applyFont="1" applyBorder="1" applyAlignment="1">
      <alignment horizontal="left" wrapText="1"/>
    </xf>
    <xf numFmtId="0" fontId="1" fillId="0" borderId="32" xfId="0" applyFont="1" applyBorder="1" applyAlignment="1">
      <alignment horizontal="left" wrapText="1"/>
    </xf>
    <xf numFmtId="0" fontId="1" fillId="0" borderId="29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1" fillId="0" borderId="3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30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31" xfId="0" applyFont="1" applyFill="1" applyBorder="1"/>
    <xf numFmtId="0" fontId="1" fillId="0" borderId="28" xfId="0" applyFont="1" applyBorder="1" applyAlignment="1">
      <alignment horizontal="left" vertical="top"/>
    </xf>
    <xf numFmtId="0" fontId="1" fillId="0" borderId="32" xfId="0" applyFont="1" applyBorder="1"/>
    <xf numFmtId="0" fontId="1" fillId="0" borderId="29" xfId="0" applyFont="1" applyBorder="1"/>
  </cellXfs>
  <cellStyles count="44">
    <cellStyle name="Border" xfId="1" xr:uid="{00000000-0005-0000-0000-000000000000}"/>
    <cellStyle name="Calc Currency (0)" xfId="2" xr:uid="{00000000-0005-0000-0000-000001000000}"/>
    <cellStyle name="Comma [0]" xfId="3" xr:uid="{00000000-0005-0000-0000-000002000000}"/>
    <cellStyle name="comma zerodec" xfId="4" xr:uid="{00000000-0005-0000-0000-000003000000}"/>
    <cellStyle name="Currency [0]" xfId="5" xr:uid="{00000000-0005-0000-0000-000004000000}"/>
    <cellStyle name="Currency_laroux" xfId="6" xr:uid="{00000000-0005-0000-0000-000005000000}"/>
    <cellStyle name="Currency1" xfId="7" xr:uid="{00000000-0005-0000-0000-000006000000}"/>
    <cellStyle name="Dollar (zero dec)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Normal - Style1" xfId="14" xr:uid="{00000000-0005-0000-0000-00000D000000}"/>
    <cellStyle name="Normal_#18-Internet" xfId="15" xr:uid="{00000000-0005-0000-0000-00000E000000}"/>
    <cellStyle name="Percent [2]" xfId="16" xr:uid="{00000000-0005-0000-0000-00000F000000}"/>
    <cellStyle name="price" xfId="17" xr:uid="{00000000-0005-0000-0000-000010000000}"/>
    <cellStyle name="PSChar" xfId="18" xr:uid="{00000000-0005-0000-0000-000011000000}"/>
    <cellStyle name="PSHeading" xfId="19" xr:uid="{00000000-0005-0000-0000-000012000000}"/>
    <cellStyle name="revised" xfId="20" xr:uid="{00000000-0005-0000-0000-000013000000}"/>
    <cellStyle name="section" xfId="21" xr:uid="{00000000-0005-0000-0000-000014000000}"/>
    <cellStyle name="title" xfId="22" xr:uid="{00000000-0005-0000-0000-000015000000}"/>
    <cellStyle name="価格桁区切り" xfId="23" xr:uid="{00000000-0005-0000-0000-000017000000}"/>
    <cellStyle name="型番" xfId="24" xr:uid="{00000000-0005-0000-0000-000018000000}"/>
    <cellStyle name="数値" xfId="25" xr:uid="{00000000-0005-0000-0000-000019000000}"/>
    <cellStyle name="数値（桁区切り）" xfId="26" xr:uid="{00000000-0005-0000-0000-00001A000000}"/>
    <cellStyle name="数値_ＣＣ見積３S4100(NX)_rev3010704" xfId="27" xr:uid="{00000000-0005-0000-0000-00001B000000}"/>
    <cellStyle name="製品通知&quot;-&quot;" xfId="28" xr:uid="{00000000-0005-0000-0000-00001C000000}"/>
    <cellStyle name="製品通知価格" xfId="29" xr:uid="{00000000-0005-0000-0000-00001D000000}"/>
    <cellStyle name="製品通知日付" xfId="30" xr:uid="{00000000-0005-0000-0000-00001E000000}"/>
    <cellStyle name="製品通知文字列" xfId="31" xr:uid="{00000000-0005-0000-0000-00001F000000}"/>
    <cellStyle name="日付" xfId="32" xr:uid="{00000000-0005-0000-0000-000020000000}"/>
    <cellStyle name="年月日" xfId="33" xr:uid="{00000000-0005-0000-0000-000021000000}"/>
    <cellStyle name="標準" xfId="0" builtinId="0"/>
    <cellStyle name="標準 2" xfId="34" xr:uid="{00000000-0005-0000-0000-000023000000}"/>
    <cellStyle name="標準 2 2" xfId="43" xr:uid="{00000000-0005-0000-0000-000024000000}"/>
    <cellStyle name="標準 2 2 2" xfId="41" xr:uid="{00000000-0005-0000-0000-000025000000}"/>
    <cellStyle name="標準 3" xfId="42" xr:uid="{00000000-0005-0000-0000-000026000000}"/>
    <cellStyle name="標準 3 2" xfId="40" xr:uid="{00000000-0005-0000-0000-000027000000}"/>
    <cellStyle name="標準 4" xfId="35" xr:uid="{00000000-0005-0000-0000-000028000000}"/>
    <cellStyle name="標準_LoginTime_試験仕様書" xfId="36" xr:uid="{00000000-0005-0000-0000-000029000000}"/>
    <cellStyle name="文字列" xfId="37" xr:uid="{00000000-0005-0000-0000-00002A000000}"/>
    <cellStyle name="未定義" xfId="38" xr:uid="{00000000-0005-0000-0000-00002B000000}"/>
    <cellStyle name="網掛け" xfId="39" xr:uid="{00000000-0005-0000-0000-00002C000000}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3"/>
        </patternFill>
      </fill>
    </dxf>
  </dxfs>
  <tableStyles count="0" defaultTableStyle="TableStyleMedium9" defaultPivotStyle="PivotStyleLight16"/>
  <colors>
    <mruColors>
      <color rgb="FF99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19050</xdr:rowOff>
    </xdr:from>
    <xdr:to>
      <xdr:col>8</xdr:col>
      <xdr:colOff>438150</xdr:colOff>
      <xdr:row>0</xdr:row>
      <xdr:rowOff>400050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3473954-684D-4AE0-9696-DBD3D9D499EF}"/>
            </a:ext>
          </a:extLst>
        </xdr:cNvPr>
        <xdr:cNvSpPr txBox="1"/>
      </xdr:nvSpPr>
      <xdr:spPr>
        <a:xfrm>
          <a:off x="8010525" y="19050"/>
          <a:ext cx="69532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/>
            <a:t>【</a:t>
          </a:r>
          <a:r>
            <a:rPr kumimoji="1" lang="ja-JP" altLang="en-US" sz="800"/>
            <a:t>全体共通の手順</a:t>
          </a:r>
          <a:r>
            <a:rPr kumimoji="1" lang="en-US" altLang="ja-JP" sz="800"/>
            <a:t>】</a:t>
          </a:r>
        </a:p>
        <a:p>
          <a:r>
            <a:rPr kumimoji="1" lang="ja-JP" altLang="en-US" sz="800"/>
            <a:t>・本試験では、試験対象の</a:t>
          </a:r>
          <a:r>
            <a:rPr kumimoji="1" lang="en-US" altLang="ja-JP" sz="800"/>
            <a:t>API</a:t>
          </a:r>
          <a:r>
            <a:rPr kumimoji="1" lang="ja-JP" altLang="en-US" sz="800"/>
            <a:t>を呼び出す試験用スクリプトを作成し、実行することで試験を行うものとする。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9"/>
  <sheetViews>
    <sheetView showGridLines="0" tabSelected="1" view="pageBreakPreview" zoomScaleNormal="100" zoomScaleSheetLayoutView="100" workbookViewId="0">
      <selection sqref="A1:B2"/>
    </sheetView>
  </sheetViews>
  <sheetFormatPr defaultColWidth="9" defaultRowHeight="10.5" x14ac:dyDescent="0.15"/>
  <cols>
    <col min="1" max="1" width="5.625" style="7" customWidth="1"/>
    <col min="2" max="2" width="8.875" style="7" customWidth="1"/>
    <col min="3" max="8" width="5.625" style="7" customWidth="1"/>
    <col min="9" max="11" width="5.625" style="8" customWidth="1"/>
    <col min="12" max="12" width="5.625" style="7" customWidth="1"/>
    <col min="13" max="14" width="5.625" style="8" customWidth="1"/>
    <col min="15" max="65" width="5.625" style="7" customWidth="1"/>
    <col min="66" max="16384" width="9" style="7"/>
  </cols>
  <sheetData>
    <row r="1" spans="1:28" ht="15" customHeight="1" x14ac:dyDescent="0.15">
      <c r="A1" s="103"/>
      <c r="B1" s="103"/>
      <c r="C1" s="105"/>
      <c r="D1" s="4"/>
      <c r="E1" s="5"/>
      <c r="F1" s="3"/>
      <c r="G1" s="6"/>
      <c r="H1" s="5"/>
      <c r="I1" s="4"/>
      <c r="J1" s="4"/>
      <c r="K1" s="4"/>
      <c r="L1" s="5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B1" s="18" t="s">
        <v>47</v>
      </c>
    </row>
    <row r="2" spans="1:28" ht="15" customHeight="1" x14ac:dyDescent="0.15">
      <c r="A2" s="104"/>
      <c r="B2" s="104"/>
      <c r="C2" s="106"/>
      <c r="D2" s="2"/>
      <c r="F2" s="8"/>
      <c r="G2" s="9"/>
      <c r="I2" s="2"/>
      <c r="J2" s="2"/>
      <c r="K2" s="2"/>
      <c r="M2" s="2"/>
      <c r="N2" s="2"/>
    </row>
    <row r="3" spans="1:28" ht="15" customHeight="1" x14ac:dyDescent="0.15">
      <c r="I3" s="2"/>
      <c r="J3" s="2"/>
      <c r="K3" s="2"/>
      <c r="M3" s="2"/>
      <c r="N3" s="2"/>
    </row>
    <row r="4" spans="1:28" s="2" customFormat="1" ht="15" customHeight="1" x14ac:dyDescent="0.15">
      <c r="D4" s="7"/>
      <c r="E4" s="7"/>
      <c r="F4" s="7"/>
      <c r="G4" s="7"/>
      <c r="I4" s="10"/>
      <c r="M4" s="11"/>
    </row>
    <row r="5" spans="1:28" ht="15" customHeight="1" x14ac:dyDescent="0.15">
      <c r="A5" s="12"/>
      <c r="B5" s="12"/>
      <c r="C5" s="13"/>
      <c r="E5" s="14"/>
      <c r="F5" s="14"/>
      <c r="G5" s="14"/>
      <c r="H5" s="13"/>
      <c r="I5" s="15"/>
      <c r="M5" s="15"/>
    </row>
    <row r="6" spans="1:28" ht="15" customHeight="1" x14ac:dyDescent="0.15">
      <c r="A6" s="12"/>
      <c r="B6" s="12"/>
      <c r="C6" s="13"/>
      <c r="D6" s="107"/>
      <c r="E6" s="108"/>
      <c r="F6" s="108"/>
      <c r="G6" s="108"/>
      <c r="H6" s="13"/>
      <c r="I6" s="15"/>
      <c r="M6" s="15"/>
    </row>
    <row r="7" spans="1:28" ht="15" customHeight="1" x14ac:dyDescent="0.15">
      <c r="A7" s="12"/>
      <c r="B7" s="109" t="str">
        <f>"空間ID開発(GO言語版)
"&amp;AB1</f>
        <v>空間ID開発(GO言語版)
精度変換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</row>
    <row r="8" spans="1:28" ht="15" customHeight="1" x14ac:dyDescent="0.15">
      <c r="A8" s="12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</row>
    <row r="9" spans="1:28" ht="15" customHeight="1" x14ac:dyDescent="0.15">
      <c r="A9" s="12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</row>
    <row r="10" spans="1:28" ht="15" customHeight="1" x14ac:dyDescent="0.15">
      <c r="A10" s="12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</row>
    <row r="11" spans="1:28" ht="15" customHeight="1" x14ac:dyDescent="0.1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8" ht="15" customHeight="1" x14ac:dyDescent="0.15">
      <c r="A12" s="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</row>
    <row r="13" spans="1:28" ht="15" customHeight="1" x14ac:dyDescent="0.15">
      <c r="A13" s="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</row>
    <row r="14" spans="1:28" ht="15" customHeight="1" x14ac:dyDescent="0.15">
      <c r="A14" s="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</row>
    <row r="15" spans="1:28" ht="15" customHeight="1" x14ac:dyDescent="0.15">
      <c r="A15" s="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</row>
    <row r="16" spans="1:28" ht="15" customHeight="1" x14ac:dyDescent="0.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" customHeight="1" x14ac:dyDescent="0.15">
      <c r="A17" s="12"/>
      <c r="B17" s="111" t="s">
        <v>41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2"/>
    </row>
    <row r="18" spans="1:26" ht="15" customHeight="1" x14ac:dyDescent="0.15">
      <c r="A18" s="12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2"/>
    </row>
    <row r="19" spans="1:26" ht="15" customHeight="1" x14ac:dyDescent="0.15">
      <c r="A19" s="12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2"/>
    </row>
    <row r="20" spans="1:26" ht="15" customHeight="1" x14ac:dyDescent="0.15">
      <c r="A20" s="12"/>
      <c r="B20" s="112" t="str">
        <f>CONCATENATE(TEXT(MAX(変更履歴!C3:C7),"0.00"), "版")</f>
        <v>1.00版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</row>
    <row r="21" spans="1:26" ht="15" customHeight="1" x14ac:dyDescent="0.15">
      <c r="A21" s="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2"/>
    </row>
    <row r="22" spans="1:26" ht="15" customHeight="1" x14ac:dyDescent="0.15">
      <c r="A22" s="12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2"/>
    </row>
    <row r="23" spans="1:26" ht="15" customHeight="1" x14ac:dyDescent="0.15">
      <c r="A23" s="12"/>
      <c r="B23" s="110">
        <v>44585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2"/>
    </row>
    <row r="24" spans="1:26" ht="15" customHeight="1" x14ac:dyDescent="0.15">
      <c r="A24" s="12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2"/>
    </row>
    <row r="25" spans="1:26" ht="15" customHeight="1" x14ac:dyDescent="0.15">
      <c r="A25" s="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</row>
    <row r="26" spans="1:26" ht="15" customHeight="1" x14ac:dyDescent="0.15">
      <c r="A26" s="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</row>
    <row r="27" spans="1:26" ht="15" customHeight="1" x14ac:dyDescent="0.15">
      <c r="A27" s="1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</row>
    <row r="28" spans="1:26" ht="15" customHeight="1" x14ac:dyDescent="0.15">
      <c r="A28" s="12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</row>
    <row r="29" spans="1:26" ht="15" customHeight="1" x14ac:dyDescent="0.15">
      <c r="A29" s="12"/>
      <c r="B29" s="12"/>
      <c r="C29" s="17"/>
      <c r="D29" s="107"/>
      <c r="E29" s="108"/>
      <c r="F29" s="108"/>
      <c r="G29" s="108"/>
      <c r="H29" s="13"/>
      <c r="I29" s="15"/>
      <c r="M29" s="15"/>
    </row>
  </sheetData>
  <mergeCells count="10">
    <mergeCell ref="A1:B2"/>
    <mergeCell ref="C1:C2"/>
    <mergeCell ref="D6:G6"/>
    <mergeCell ref="B7:Y10"/>
    <mergeCell ref="D29:G29"/>
    <mergeCell ref="B23:Y24"/>
    <mergeCell ref="B17:Y19"/>
    <mergeCell ref="B12:Y15"/>
    <mergeCell ref="B20:Y21"/>
    <mergeCell ref="B25:Y28"/>
  </mergeCells>
  <phoneticPr fontId="3"/>
  <pageMargins left="0.78740157480314965" right="0.78740157480314965" top="0.98425196850393704" bottom="0.98425196850393704" header="0.51181102362204722" footer="0.51181102362204722"/>
  <pageSetup paperSize="9" scale="88" fitToHeight="0" orientation="landscape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5CD2-88A0-4C8C-B1E2-52AC5206311C}">
  <dimension ref="A2:F7"/>
  <sheetViews>
    <sheetView showGridLines="0" workbookViewId="0">
      <selection activeCell="B4" sqref="B4"/>
    </sheetView>
  </sheetViews>
  <sheetFormatPr defaultColWidth="2.625" defaultRowHeight="13.5" x14ac:dyDescent="0.15"/>
  <cols>
    <col min="2" max="2" width="17.25" bestFit="1" customWidth="1"/>
    <col min="3" max="3" width="6.5" bestFit="1" customWidth="1"/>
    <col min="4" max="4" width="13.625" customWidth="1"/>
    <col min="5" max="5" width="7.5" bestFit="1" customWidth="1"/>
    <col min="6" max="6" width="77.375" customWidth="1"/>
  </cols>
  <sheetData>
    <row r="2" spans="1:6" s="37" customFormat="1" ht="15" customHeight="1" x14ac:dyDescent="0.15">
      <c r="A2"/>
      <c r="B2" s="56" t="s">
        <v>0</v>
      </c>
      <c r="C2" s="57" t="s">
        <v>1</v>
      </c>
      <c r="D2" s="56" t="s">
        <v>25</v>
      </c>
      <c r="E2" s="56" t="s">
        <v>2</v>
      </c>
      <c r="F2" s="56" t="s">
        <v>3</v>
      </c>
    </row>
    <row r="3" spans="1:6" s="37" customFormat="1" ht="15" customHeight="1" x14ac:dyDescent="0.15">
      <c r="A3"/>
      <c r="B3" s="58">
        <v>44585</v>
      </c>
      <c r="C3" s="39">
        <v>1</v>
      </c>
      <c r="D3" s="40" t="s">
        <v>11</v>
      </c>
      <c r="E3" s="40" t="s">
        <v>34</v>
      </c>
      <c r="F3" s="40" t="s">
        <v>12</v>
      </c>
    </row>
    <row r="4" spans="1:6" s="37" customFormat="1" ht="15" customHeight="1" x14ac:dyDescent="0.15">
      <c r="A4"/>
      <c r="B4" s="38"/>
      <c r="C4" s="39"/>
      <c r="D4" s="40"/>
      <c r="E4" s="40"/>
      <c r="F4" s="40"/>
    </row>
    <row r="5" spans="1:6" s="37" customFormat="1" ht="15" customHeight="1" x14ac:dyDescent="0.15">
      <c r="A5"/>
      <c r="B5" s="38"/>
      <c r="C5" s="39"/>
      <c r="D5" s="40"/>
      <c r="E5" s="40"/>
      <c r="F5" s="40"/>
    </row>
    <row r="6" spans="1:6" s="37" customFormat="1" ht="15" customHeight="1" x14ac:dyDescent="0.15">
      <c r="A6"/>
      <c r="B6" s="38"/>
      <c r="C6" s="39"/>
      <c r="D6" s="40"/>
      <c r="E6" s="40"/>
      <c r="F6" s="40"/>
    </row>
    <row r="7" spans="1:6" s="37" customFormat="1" ht="15" customHeight="1" x14ac:dyDescent="0.15">
      <c r="A7"/>
      <c r="B7" s="38"/>
      <c r="C7" s="39"/>
      <c r="D7" s="40"/>
      <c r="E7" s="40"/>
      <c r="F7" s="40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cols>
    <col min="1" max="1" width="2.625" customWidth="1"/>
    <col min="2" max="2" width="23.125" bestFit="1" customWidth="1"/>
    <col min="3" max="5" width="10.625" customWidth="1"/>
    <col min="6" max="6" width="15.625" customWidth="1"/>
    <col min="7" max="7" width="78.25" bestFit="1" customWidth="1"/>
  </cols>
  <sheetData>
    <row r="1" spans="1:5" ht="19.5" thickBot="1" x14ac:dyDescent="0.25">
      <c r="A1" s="35" t="s">
        <v>23</v>
      </c>
    </row>
    <row r="2" spans="1:5" x14ac:dyDescent="0.15">
      <c r="B2" s="53" t="s">
        <v>24</v>
      </c>
      <c r="C2" s="54" t="s">
        <v>19</v>
      </c>
      <c r="D2" s="54" t="s">
        <v>20</v>
      </c>
      <c r="E2" s="55" t="s">
        <v>21</v>
      </c>
    </row>
    <row r="3" spans="1:5" ht="14.25" thickBot="1" x14ac:dyDescent="0.2">
      <c r="B3" s="50" t="s">
        <v>40</v>
      </c>
      <c r="C3" s="48">
        <f ca="1">VLOOKUP(B3,$B$8:$D$11,3,FALSE)</f>
        <v>93</v>
      </c>
      <c r="D3" s="48" cm="1">
        <f t="array" aca="1" ref="D3" ca="1">COUNTIF(INDIRECT(B3&amp;"!$K$3:$K$1024"),"OK")-SUMPRODUCT((OFFSET(INDIRECT(B3&amp;"!$K$3:$K$1024"),,)="OK")*(OFFSET(INDIRECT(B3&amp;"!$M$3:$M$1024"),,)&lt;&gt;""))</f>
        <v>93</v>
      </c>
      <c r="E3" s="51">
        <f ca="1">C3-D3</f>
        <v>0</v>
      </c>
    </row>
    <row r="4" spans="1:5" ht="15" thickTop="1" thickBot="1" x14ac:dyDescent="0.2">
      <c r="B4" s="52" t="s">
        <v>22</v>
      </c>
      <c r="C4" s="46">
        <f ca="1">SUM(C3:C3)</f>
        <v>93</v>
      </c>
      <c r="D4" s="46">
        <f ca="1">SUM(D3:D3)</f>
        <v>93</v>
      </c>
      <c r="E4" s="47">
        <f ca="1">SUM(E3:E3)</f>
        <v>0</v>
      </c>
    </row>
    <row r="5" spans="1:5" ht="14.25" thickBot="1" x14ac:dyDescent="0.2"/>
    <row r="6" spans="1:5" x14ac:dyDescent="0.15">
      <c r="B6" s="114" t="s">
        <v>27</v>
      </c>
      <c r="C6" s="115"/>
      <c r="D6" s="116"/>
    </row>
    <row r="7" spans="1:5" ht="14.25" thickBot="1" x14ac:dyDescent="0.2">
      <c r="B7" s="117"/>
      <c r="C7" s="118"/>
      <c r="D7" s="119"/>
    </row>
    <row r="8" spans="1:5" ht="14.25" thickBot="1" x14ac:dyDescent="0.2">
      <c r="B8" s="120" t="s">
        <v>40</v>
      </c>
      <c r="C8" s="42" t="s">
        <v>28</v>
      </c>
      <c r="D8" s="43">
        <f ca="1">SUM(D9:D11)</f>
        <v>93</v>
      </c>
    </row>
    <row r="9" spans="1:5" ht="14.25" thickTop="1" x14ac:dyDescent="0.15">
      <c r="B9" s="121"/>
      <c r="C9" s="36" t="s">
        <v>29</v>
      </c>
      <c r="D9" s="44" cm="1">
        <f t="array" aca="1" ref="D9" ca="1">COUNTIF(INDIRECT(B8&amp;"!$E$3:$E$1024"),C9)-SUMPRODUCT((OFFSET(INDIRECT(B8&amp;"!$E$3:$E$1024"),,)=C9)*(OFFSET(INDIRECT(B8&amp;"!$M$3:$M$1024"),,)&lt;&gt;""))</f>
        <v>70</v>
      </c>
    </row>
    <row r="10" spans="1:5" x14ac:dyDescent="0.15">
      <c r="B10" s="121"/>
      <c r="C10" s="34" t="s">
        <v>30</v>
      </c>
      <c r="D10" s="45" cm="1">
        <f t="array" aca="1" ref="D10" ca="1">COUNTIF(INDIRECT(B8&amp;"!$E$3:$E$1024"),C10)-SUMPRODUCT((OFFSET(INDIRECT(B8&amp;"!$E$3:$E$1024"),,)=C10)*(OFFSET(INDIRECT(B8&amp;"!$M$3:$M$1024"),,)&lt;&gt;""))</f>
        <v>23</v>
      </c>
    </row>
    <row r="11" spans="1:5" ht="14.25" thickBot="1" x14ac:dyDescent="0.2">
      <c r="B11" s="122"/>
      <c r="C11" s="46" t="s">
        <v>31</v>
      </c>
      <c r="D11" s="47" cm="1">
        <f t="array" aca="1" ref="D11" ca="1">COUNTIF(INDIRECT(B8&amp;"!$E$3:$E$1024"),C11)-SUMPRODUCT((OFFSET(INDIRECT(B8&amp;"!$E$3:$E$1024"),,)=C11)*(OFFSET(INDIRECT(B8&amp;"!$M$3:$M$1024"),,)&lt;&gt;""))</f>
        <v>0</v>
      </c>
    </row>
  </sheetData>
  <mergeCells count="2">
    <mergeCell ref="B6:D7"/>
    <mergeCell ref="B8:B11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7"/>
  <sheetViews>
    <sheetView view="pageBreakPreview" zoomScale="115" zoomScaleNormal="100" zoomScaleSheetLayoutView="115" zoomScalePageLayoutView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6.5" defaultRowHeight="10.5" x14ac:dyDescent="0.15"/>
  <cols>
    <col min="1" max="1" width="18.375" style="19" bestFit="1" customWidth="1"/>
    <col min="2" max="2" width="19.75" style="19" customWidth="1"/>
    <col min="3" max="3" width="39.75" style="19" bestFit="1" customWidth="1"/>
    <col min="4" max="4" width="19.75" style="19" customWidth="1"/>
    <col min="5" max="5" width="7.5" style="19" bestFit="1" customWidth="1"/>
    <col min="6" max="6" width="7.375" style="19" hidden="1" customWidth="1"/>
    <col min="7" max="7" width="41.25" style="19" customWidth="1"/>
    <col min="8" max="8" width="44.25" style="19" customWidth="1"/>
    <col min="9" max="9" width="10.625" style="1" customWidth="1"/>
    <col min="10" max="11" width="10.625" style="21" customWidth="1"/>
    <col min="12" max="12" width="24.625" style="19" customWidth="1"/>
    <col min="13" max="13" width="25.375" style="19" customWidth="1"/>
    <col min="14" max="17" width="6.5" style="20"/>
    <col min="18" max="18" width="13.625" style="20" customWidth="1"/>
    <col min="19" max="16384" width="6.5" style="20"/>
  </cols>
  <sheetData>
    <row r="1" spans="1:20" s="24" customFormat="1" ht="33" customHeight="1" thickBot="1" x14ac:dyDescent="0.2">
      <c r="A1" s="22" t="str">
        <f ca="1">MID(CELL("filename",$A$1),FIND("]",CELL("filename",$A$1))+3,31)</f>
        <v>結合試験</v>
      </c>
      <c r="B1" s="23"/>
      <c r="C1" s="23"/>
      <c r="D1" s="23"/>
      <c r="E1" s="23"/>
      <c r="F1" s="23"/>
      <c r="G1" s="23"/>
      <c r="H1" s="23"/>
      <c r="I1" s="1"/>
      <c r="J1" s="21"/>
      <c r="K1" s="29" t="s">
        <v>33</v>
      </c>
      <c r="L1" s="23"/>
      <c r="M1" s="23"/>
      <c r="O1" s="25"/>
      <c r="P1" s="25"/>
      <c r="R1" s="30" t="s">
        <v>16</v>
      </c>
      <c r="S1" s="30">
        <f ca="1">VALUE(MID(CELL("filename",$A$1),FIND("]",CELL("filename",$A$1))+1,2))</f>
        <v>1</v>
      </c>
      <c r="T1" s="31"/>
    </row>
    <row r="2" spans="1:20" s="24" customFormat="1" ht="14.25" thickBot="1" x14ac:dyDescent="0.2">
      <c r="A2" s="97" t="s">
        <v>4</v>
      </c>
      <c r="B2" s="98" t="s">
        <v>5</v>
      </c>
      <c r="C2" s="98" t="s">
        <v>6</v>
      </c>
      <c r="D2" s="99" t="s">
        <v>7</v>
      </c>
      <c r="E2" s="99" t="s">
        <v>26</v>
      </c>
      <c r="F2" s="98" t="s">
        <v>32</v>
      </c>
      <c r="G2" s="98" t="s">
        <v>39</v>
      </c>
      <c r="H2" s="98" t="s">
        <v>38</v>
      </c>
      <c r="I2" s="100" t="s">
        <v>8</v>
      </c>
      <c r="J2" s="101" t="s">
        <v>9</v>
      </c>
      <c r="K2" s="98" t="s">
        <v>10</v>
      </c>
      <c r="L2" s="98" t="s">
        <v>17</v>
      </c>
      <c r="M2" s="102" t="s">
        <v>18</v>
      </c>
      <c r="O2" s="25"/>
      <c r="P2" s="25"/>
      <c r="R2" s="32" t="s">
        <v>13</v>
      </c>
      <c r="S2" s="32" t="s">
        <v>14</v>
      </c>
      <c r="T2" s="32" t="s">
        <v>15</v>
      </c>
    </row>
    <row r="3" spans="1:20" s="25" customFormat="1" ht="63" x14ac:dyDescent="0.15">
      <c r="A3" s="49" t="str">
        <f ca="1">IF(B3&lt;&gt;"",表紙!$AB$1&amp;"-"&amp;"結合-"&amp;TEXT($S$1,"00")&amp;"-"&amp;TEXT(R3,"00")&amp;"-"&amp;TEXT(S3,"00")&amp;"-"&amp;TEXT(T3,"０00"),"")</f>
        <v>精度変換-結合-01-01-01-001</v>
      </c>
      <c r="B3" s="33" t="s">
        <v>49</v>
      </c>
      <c r="C3" s="33" t="s">
        <v>52</v>
      </c>
      <c r="D3" s="33" t="s">
        <v>212</v>
      </c>
      <c r="E3" s="96" t="s">
        <v>44</v>
      </c>
      <c r="F3" s="96"/>
      <c r="G3" s="86" t="s">
        <v>223</v>
      </c>
      <c r="H3" s="86" t="s">
        <v>211</v>
      </c>
      <c r="I3" s="79">
        <v>44950</v>
      </c>
      <c r="J3" s="80" t="s">
        <v>419</v>
      </c>
      <c r="K3" s="92" t="s">
        <v>420</v>
      </c>
      <c r="L3" s="33"/>
      <c r="M3" s="33"/>
      <c r="R3" s="32">
        <f>IF(ROW()&lt;&gt;3,IF(B2&lt;&gt;B3,#REF!+1,#REF!),1)</f>
        <v>1</v>
      </c>
      <c r="S3" s="32">
        <f>IF(B2=B3,IF(C2&lt;&gt;C3,#REF!+1,#REF!),1)</f>
        <v>1</v>
      </c>
      <c r="T3" s="32">
        <f>IF(B2&lt;&gt;B3,1,IF(C2=C3,#REF!+1,1))</f>
        <v>1</v>
      </c>
    </row>
    <row r="4" spans="1:20" s="25" customFormat="1" ht="63" x14ac:dyDescent="0.15">
      <c r="A4" s="49" t="str">
        <f ca="1">IF(B4&lt;&gt;"",表紙!$AB$1&amp;"-"&amp;"結合-"&amp;TEXT($S$1,"00")&amp;"-"&amp;TEXT(R4,"00")&amp;"-"&amp;TEXT(S4,"00")&amp;"-"&amp;TEXT(T4,"０00"),"")</f>
        <v>精度変換-結合-01-01-01-002</v>
      </c>
      <c r="B4" s="26" t="s">
        <v>49</v>
      </c>
      <c r="C4" s="26" t="s">
        <v>52</v>
      </c>
      <c r="D4" s="26" t="s">
        <v>213</v>
      </c>
      <c r="E4" s="41" t="s">
        <v>44</v>
      </c>
      <c r="F4" s="41"/>
      <c r="G4" s="86" t="s">
        <v>379</v>
      </c>
      <c r="H4" s="91" t="s">
        <v>211</v>
      </c>
      <c r="I4" s="59">
        <v>44950</v>
      </c>
      <c r="J4" s="60" t="s">
        <v>419</v>
      </c>
      <c r="K4" s="61" t="s">
        <v>420</v>
      </c>
      <c r="L4" s="26"/>
      <c r="M4" s="26"/>
      <c r="R4" s="32">
        <f t="shared" ref="R4:R69" si="0">IF(ROW()&lt;&gt;3,IF(B3&lt;&gt;B4,R3+1,R3),1)</f>
        <v>1</v>
      </c>
      <c r="S4" s="32">
        <f t="shared" ref="S4:S69" si="1">IF(B3=B4,IF(C3&lt;&gt;C4,S3+1,S3),1)</f>
        <v>1</v>
      </c>
      <c r="T4" s="32">
        <f t="shared" ref="T4:T69" si="2">IF(B3&lt;&gt;B4,1,IF(C3=C4,T3+1,1))</f>
        <v>2</v>
      </c>
    </row>
    <row r="5" spans="1:20" s="25" customFormat="1" ht="63" x14ac:dyDescent="0.15">
      <c r="A5" s="49" t="str">
        <f ca="1">IF(B5&lt;&gt;"",表紙!$AB$1&amp;"-"&amp;"結合-"&amp;TEXT($S$1,"00")&amp;"-"&amp;TEXT(R5,"00")&amp;"-"&amp;TEXT(S5,"00")&amp;"-"&amp;TEXT(T5,"０00"),"")</f>
        <v>精度変換-結合-01-01-01-003</v>
      </c>
      <c r="B5" s="26" t="s">
        <v>48</v>
      </c>
      <c r="C5" s="26" t="s">
        <v>43</v>
      </c>
      <c r="D5" s="26" t="s">
        <v>214</v>
      </c>
      <c r="E5" s="41" t="s">
        <v>44</v>
      </c>
      <c r="F5" s="41"/>
      <c r="G5" s="86" t="s">
        <v>380</v>
      </c>
      <c r="H5" s="86" t="s">
        <v>211</v>
      </c>
      <c r="I5" s="59">
        <v>44950</v>
      </c>
      <c r="J5" s="60" t="s">
        <v>419</v>
      </c>
      <c r="K5" s="61" t="s">
        <v>420</v>
      </c>
      <c r="L5" s="26"/>
      <c r="M5" s="26"/>
      <c r="R5" s="32">
        <f t="shared" si="0"/>
        <v>1</v>
      </c>
      <c r="S5" s="32">
        <f t="shared" si="1"/>
        <v>1</v>
      </c>
      <c r="T5" s="32">
        <f t="shared" si="2"/>
        <v>3</v>
      </c>
    </row>
    <row r="6" spans="1:20" s="25" customFormat="1" ht="63" x14ac:dyDescent="0.15">
      <c r="A6" s="49" t="str">
        <f ca="1">IF(B6&lt;&gt;"",表紙!$AB$1&amp;"-"&amp;"結合-"&amp;TEXT($S$1,"00")&amp;"-"&amp;TEXT(R6,"00")&amp;"-"&amp;TEXT(S6,"00")&amp;"-"&amp;TEXT(T6,"０00"),"")</f>
        <v>精度変換-結合-01-01-01-004</v>
      </c>
      <c r="B6" s="26" t="s">
        <v>48</v>
      </c>
      <c r="C6" s="26" t="s">
        <v>43</v>
      </c>
      <c r="D6" s="26" t="s">
        <v>215</v>
      </c>
      <c r="E6" s="41" t="s">
        <v>44</v>
      </c>
      <c r="F6" s="41"/>
      <c r="G6" s="86" t="s">
        <v>381</v>
      </c>
      <c r="H6" s="86" t="s">
        <v>211</v>
      </c>
      <c r="I6" s="59">
        <v>44950</v>
      </c>
      <c r="J6" s="60" t="s">
        <v>419</v>
      </c>
      <c r="K6" s="61" t="s">
        <v>420</v>
      </c>
      <c r="L6" s="26"/>
      <c r="M6" s="26"/>
      <c r="R6" s="32">
        <f t="shared" si="0"/>
        <v>1</v>
      </c>
      <c r="S6" s="32">
        <f t="shared" si="1"/>
        <v>1</v>
      </c>
      <c r="T6" s="32">
        <f t="shared" si="2"/>
        <v>4</v>
      </c>
    </row>
    <row r="7" spans="1:20" s="25" customFormat="1" ht="63" x14ac:dyDescent="0.15">
      <c r="A7" s="49" t="str">
        <f ca="1">IF(B7&lt;&gt;"",表紙!$AB$1&amp;"-"&amp;"結合-"&amp;TEXT($S$1,"00")&amp;"-"&amp;TEXT(R7,"00")&amp;"-"&amp;TEXT(S7,"00")&amp;"-"&amp;TEXT(T7,"０00"),"")</f>
        <v>精度変換-結合-01-01-01-005</v>
      </c>
      <c r="B7" s="26" t="s">
        <v>48</v>
      </c>
      <c r="C7" s="26" t="s">
        <v>43</v>
      </c>
      <c r="D7" s="26" t="s">
        <v>216</v>
      </c>
      <c r="E7" s="41" t="s">
        <v>44</v>
      </c>
      <c r="F7" s="41"/>
      <c r="G7" s="86" t="s">
        <v>382</v>
      </c>
      <c r="H7" s="86" t="s">
        <v>211</v>
      </c>
      <c r="I7" s="59">
        <v>44950</v>
      </c>
      <c r="J7" s="60" t="s">
        <v>419</v>
      </c>
      <c r="K7" s="61" t="s">
        <v>420</v>
      </c>
      <c r="L7" s="26"/>
      <c r="M7" s="26"/>
      <c r="R7" s="32">
        <f t="shared" si="0"/>
        <v>1</v>
      </c>
      <c r="S7" s="32">
        <f t="shared" si="1"/>
        <v>1</v>
      </c>
      <c r="T7" s="32">
        <f t="shared" si="2"/>
        <v>5</v>
      </c>
    </row>
    <row r="8" spans="1:20" s="25" customFormat="1" ht="63" x14ac:dyDescent="0.15">
      <c r="A8" s="49" t="str">
        <f ca="1">IF(B8&lt;&gt;"",表紙!$AB$1&amp;"-"&amp;"結合-"&amp;TEXT($S$1,"00")&amp;"-"&amp;TEXT(R8,"00")&amp;"-"&amp;TEXT(S8,"00")&amp;"-"&amp;TEXT(T8,"０00"),"")</f>
        <v>精度変換-結合-01-01-01-006</v>
      </c>
      <c r="B8" s="26" t="s">
        <v>48</v>
      </c>
      <c r="C8" s="26" t="s">
        <v>43</v>
      </c>
      <c r="D8" s="26" t="s">
        <v>217</v>
      </c>
      <c r="E8" s="41" t="s">
        <v>44</v>
      </c>
      <c r="F8" s="41"/>
      <c r="G8" s="86" t="s">
        <v>383</v>
      </c>
      <c r="H8" s="86" t="s">
        <v>211</v>
      </c>
      <c r="I8" s="59">
        <v>44950</v>
      </c>
      <c r="J8" s="60" t="s">
        <v>419</v>
      </c>
      <c r="K8" s="61" t="s">
        <v>420</v>
      </c>
      <c r="L8" s="26"/>
      <c r="M8" s="26"/>
      <c r="R8" s="32">
        <f t="shared" si="0"/>
        <v>1</v>
      </c>
      <c r="S8" s="32">
        <f t="shared" si="1"/>
        <v>1</v>
      </c>
      <c r="T8" s="32">
        <f t="shared" si="2"/>
        <v>6</v>
      </c>
    </row>
    <row r="9" spans="1:20" s="25" customFormat="1" ht="63" x14ac:dyDescent="0.15">
      <c r="A9" s="49" t="str">
        <f ca="1">IF(B9&lt;&gt;"",表紙!$AB$1&amp;"-"&amp;"結合-"&amp;TEXT($S$1,"00")&amp;"-"&amp;TEXT(R9,"00")&amp;"-"&amp;TEXT(S9,"00")&amp;"-"&amp;TEXT(T9,"０00"),"")</f>
        <v>精度変換-結合-01-01-02-001</v>
      </c>
      <c r="B9" s="26" t="s">
        <v>48</v>
      </c>
      <c r="C9" s="26" t="s">
        <v>53</v>
      </c>
      <c r="D9" s="33" t="s">
        <v>81</v>
      </c>
      <c r="E9" s="41" t="s">
        <v>44</v>
      </c>
      <c r="F9" s="41"/>
      <c r="G9" s="86" t="s">
        <v>384</v>
      </c>
      <c r="H9" s="86" t="s">
        <v>211</v>
      </c>
      <c r="I9" s="59">
        <v>44950</v>
      </c>
      <c r="J9" s="60" t="s">
        <v>419</v>
      </c>
      <c r="K9" s="61" t="s">
        <v>420</v>
      </c>
      <c r="L9" s="26"/>
      <c r="M9" s="26"/>
      <c r="R9" s="32">
        <f t="shared" si="0"/>
        <v>1</v>
      </c>
      <c r="S9" s="32">
        <f t="shared" si="1"/>
        <v>2</v>
      </c>
      <c r="T9" s="32">
        <f t="shared" si="2"/>
        <v>1</v>
      </c>
    </row>
    <row r="10" spans="1:20" s="25" customFormat="1" ht="63" x14ac:dyDescent="0.15">
      <c r="A10" s="49" t="str">
        <f ca="1">IF(B10&lt;&gt;"",表紙!$AB$1&amp;"-"&amp;"結合-"&amp;TEXT($S$1,"00")&amp;"-"&amp;TEXT(R10,"00")&amp;"-"&amp;TEXT(S10,"00")&amp;"-"&amp;TEXT(T10,"０00"),"")</f>
        <v>精度変換-結合-01-01-02-002</v>
      </c>
      <c r="B10" s="26" t="s">
        <v>48</v>
      </c>
      <c r="C10" s="26" t="s">
        <v>53</v>
      </c>
      <c r="D10" s="33" t="s">
        <v>82</v>
      </c>
      <c r="E10" s="41" t="s">
        <v>44</v>
      </c>
      <c r="F10" s="41"/>
      <c r="G10" s="86" t="s">
        <v>385</v>
      </c>
      <c r="H10" s="86" t="s">
        <v>211</v>
      </c>
      <c r="I10" s="59">
        <v>44950</v>
      </c>
      <c r="J10" s="60" t="s">
        <v>419</v>
      </c>
      <c r="K10" s="61" t="s">
        <v>420</v>
      </c>
      <c r="L10" s="26"/>
      <c r="M10" s="26"/>
      <c r="R10" s="32">
        <f t="shared" si="0"/>
        <v>1</v>
      </c>
      <c r="S10" s="32">
        <f t="shared" si="1"/>
        <v>2</v>
      </c>
      <c r="T10" s="32">
        <f t="shared" si="2"/>
        <v>2</v>
      </c>
    </row>
    <row r="11" spans="1:20" s="25" customFormat="1" ht="63" x14ac:dyDescent="0.15">
      <c r="A11" s="49" t="str">
        <f ca="1">IF(B11&lt;&gt;"",表紙!$AB$1&amp;"-"&amp;"結合-"&amp;TEXT($S$1,"00")&amp;"-"&amp;TEXT(R11,"00")&amp;"-"&amp;TEXT(S11,"00")&amp;"-"&amp;TEXT(T11,"０00"),"")</f>
        <v>精度変換-結合-01-01-02-003</v>
      </c>
      <c r="B11" s="26" t="s">
        <v>48</v>
      </c>
      <c r="C11" s="26" t="s">
        <v>53</v>
      </c>
      <c r="D11" s="33" t="s">
        <v>83</v>
      </c>
      <c r="E11" s="41" t="s">
        <v>44</v>
      </c>
      <c r="F11" s="41"/>
      <c r="G11" s="86" t="s">
        <v>386</v>
      </c>
      <c r="H11" s="86" t="s">
        <v>211</v>
      </c>
      <c r="I11" s="59">
        <v>44950</v>
      </c>
      <c r="J11" s="60" t="s">
        <v>419</v>
      </c>
      <c r="K11" s="61" t="s">
        <v>420</v>
      </c>
      <c r="L11" s="26"/>
      <c r="M11" s="26"/>
      <c r="R11" s="32">
        <f t="shared" si="0"/>
        <v>1</v>
      </c>
      <c r="S11" s="32">
        <f t="shared" si="1"/>
        <v>2</v>
      </c>
      <c r="T11" s="32">
        <f t="shared" si="2"/>
        <v>3</v>
      </c>
    </row>
    <row r="12" spans="1:20" s="25" customFormat="1" ht="63" x14ac:dyDescent="0.15">
      <c r="A12" s="49" t="str">
        <f ca="1">IF(B12&lt;&gt;"",表紙!$AB$1&amp;"-"&amp;"結合-"&amp;TEXT($S$1,"00")&amp;"-"&amp;TEXT(R12,"00")&amp;"-"&amp;TEXT(S12,"00")&amp;"-"&amp;TEXT(T12,"０00"),"")</f>
        <v>精度変換-結合-01-01-02-004</v>
      </c>
      <c r="B12" s="26" t="s">
        <v>48</v>
      </c>
      <c r="C12" s="26" t="s">
        <v>53</v>
      </c>
      <c r="D12" s="33" t="s">
        <v>84</v>
      </c>
      <c r="E12" s="41" t="s">
        <v>44</v>
      </c>
      <c r="F12" s="41"/>
      <c r="G12" s="86" t="s">
        <v>387</v>
      </c>
      <c r="H12" s="86" t="s">
        <v>211</v>
      </c>
      <c r="I12" s="59">
        <v>44950</v>
      </c>
      <c r="J12" s="60" t="s">
        <v>419</v>
      </c>
      <c r="K12" s="61" t="s">
        <v>420</v>
      </c>
      <c r="L12" s="26"/>
      <c r="M12" s="26"/>
      <c r="R12" s="32">
        <f t="shared" si="0"/>
        <v>1</v>
      </c>
      <c r="S12" s="32">
        <f t="shared" si="1"/>
        <v>2</v>
      </c>
      <c r="T12" s="32">
        <f t="shared" si="2"/>
        <v>4</v>
      </c>
    </row>
    <row r="13" spans="1:20" s="25" customFormat="1" ht="63" x14ac:dyDescent="0.15">
      <c r="A13" s="49" t="str">
        <f ca="1">IF(B13&lt;&gt;"",表紙!$AB$1&amp;"-"&amp;"結合-"&amp;TEXT($S$1,"00")&amp;"-"&amp;TEXT(R13,"00")&amp;"-"&amp;TEXT(S13,"00")&amp;"-"&amp;TEXT(T13,"０00"),"")</f>
        <v>精度変換-結合-01-01-02-005</v>
      </c>
      <c r="B13" s="26" t="s">
        <v>48</v>
      </c>
      <c r="C13" s="26" t="s">
        <v>53</v>
      </c>
      <c r="D13" s="33" t="s">
        <v>85</v>
      </c>
      <c r="E13" s="41" t="s">
        <v>44</v>
      </c>
      <c r="F13" s="41"/>
      <c r="G13" s="86" t="s">
        <v>388</v>
      </c>
      <c r="H13" s="86" t="s">
        <v>211</v>
      </c>
      <c r="I13" s="59">
        <v>44950</v>
      </c>
      <c r="J13" s="60" t="s">
        <v>419</v>
      </c>
      <c r="K13" s="61" t="s">
        <v>420</v>
      </c>
      <c r="L13" s="26"/>
      <c r="M13" s="26"/>
      <c r="R13" s="32">
        <f t="shared" si="0"/>
        <v>1</v>
      </c>
      <c r="S13" s="32">
        <f t="shared" si="1"/>
        <v>2</v>
      </c>
      <c r="T13" s="32">
        <f t="shared" si="2"/>
        <v>5</v>
      </c>
    </row>
    <row r="14" spans="1:20" s="25" customFormat="1" ht="63" x14ac:dyDescent="0.15">
      <c r="A14" s="49" t="str">
        <f ca="1">IF(B14&lt;&gt;"",表紙!$AB$1&amp;"-"&amp;"結合-"&amp;TEXT($S$1,"00")&amp;"-"&amp;TEXT(R14,"00")&amp;"-"&amp;TEXT(S14,"00")&amp;"-"&amp;TEXT(T14,"０00"),"")</f>
        <v>精度変換-結合-01-01-02-006</v>
      </c>
      <c r="B14" s="26" t="s">
        <v>48</v>
      </c>
      <c r="C14" s="26" t="s">
        <v>53</v>
      </c>
      <c r="D14" s="33" t="s">
        <v>86</v>
      </c>
      <c r="E14" s="41" t="s">
        <v>44</v>
      </c>
      <c r="F14" s="41"/>
      <c r="G14" s="86" t="s">
        <v>389</v>
      </c>
      <c r="H14" s="86" t="s">
        <v>211</v>
      </c>
      <c r="I14" s="59">
        <v>44950</v>
      </c>
      <c r="J14" s="60" t="s">
        <v>419</v>
      </c>
      <c r="K14" s="61" t="s">
        <v>420</v>
      </c>
      <c r="L14" s="26"/>
      <c r="M14" s="26"/>
      <c r="R14" s="32">
        <f t="shared" si="0"/>
        <v>1</v>
      </c>
      <c r="S14" s="32">
        <f t="shared" si="1"/>
        <v>2</v>
      </c>
      <c r="T14" s="32">
        <f t="shared" si="2"/>
        <v>6</v>
      </c>
    </row>
    <row r="15" spans="1:20" s="25" customFormat="1" ht="63" x14ac:dyDescent="0.15">
      <c r="A15" s="49" t="str">
        <f ca="1">IF(B15&lt;&gt;"",表紙!$AB$1&amp;"-"&amp;"結合-"&amp;TEXT($S$1,"00")&amp;"-"&amp;TEXT(R15,"00")&amp;"-"&amp;TEXT(S15,"00")&amp;"-"&amp;TEXT(T15,"０00"),"")</f>
        <v>精度変換-結合-01-01-02-007</v>
      </c>
      <c r="B15" s="26" t="s">
        <v>48</v>
      </c>
      <c r="C15" s="26" t="s">
        <v>53</v>
      </c>
      <c r="D15" s="33" t="s">
        <v>87</v>
      </c>
      <c r="E15" s="41" t="s">
        <v>44</v>
      </c>
      <c r="F15" s="41"/>
      <c r="G15" s="86" t="s">
        <v>390</v>
      </c>
      <c r="H15" s="86" t="s">
        <v>211</v>
      </c>
      <c r="I15" s="59">
        <v>44950</v>
      </c>
      <c r="J15" s="60" t="s">
        <v>419</v>
      </c>
      <c r="K15" s="61" t="s">
        <v>420</v>
      </c>
      <c r="L15" s="26"/>
      <c r="M15" s="26"/>
      <c r="R15" s="32">
        <f t="shared" si="0"/>
        <v>1</v>
      </c>
      <c r="S15" s="32">
        <f t="shared" si="1"/>
        <v>2</v>
      </c>
      <c r="T15" s="32">
        <f t="shared" si="2"/>
        <v>7</v>
      </c>
    </row>
    <row r="16" spans="1:20" s="25" customFormat="1" ht="63" x14ac:dyDescent="0.15">
      <c r="A16" s="49" t="str">
        <f ca="1">IF(B16&lt;&gt;"",表紙!$AB$1&amp;"-"&amp;"結合-"&amp;TEXT($S$1,"00")&amp;"-"&amp;TEXT(R16,"00")&amp;"-"&amp;TEXT(S16,"00")&amp;"-"&amp;TEXT(T16,"０00"),"")</f>
        <v>精度変換-結合-01-01-02-008</v>
      </c>
      <c r="B16" s="26" t="s">
        <v>48</v>
      </c>
      <c r="C16" s="26" t="s">
        <v>53</v>
      </c>
      <c r="D16" s="26" t="s">
        <v>88</v>
      </c>
      <c r="E16" s="41" t="s">
        <v>44</v>
      </c>
      <c r="F16" s="41"/>
      <c r="G16" s="86" t="s">
        <v>391</v>
      </c>
      <c r="H16" s="86" t="s">
        <v>211</v>
      </c>
      <c r="I16" s="59">
        <v>44950</v>
      </c>
      <c r="J16" s="60" t="s">
        <v>419</v>
      </c>
      <c r="K16" s="61" t="s">
        <v>420</v>
      </c>
      <c r="L16" s="26"/>
      <c r="M16" s="26"/>
      <c r="R16" s="32">
        <f t="shared" si="0"/>
        <v>1</v>
      </c>
      <c r="S16" s="32">
        <f t="shared" si="1"/>
        <v>2</v>
      </c>
      <c r="T16" s="32">
        <f t="shared" si="2"/>
        <v>8</v>
      </c>
    </row>
    <row r="17" spans="1:20" s="25" customFormat="1" ht="52.5" x14ac:dyDescent="0.15">
      <c r="A17" s="49" t="str">
        <f ca="1">IF(B17&lt;&gt;"",表紙!$AB$1&amp;"-"&amp;"結合-"&amp;TEXT($S$1,"00")&amp;"-"&amp;TEXT(R17,"00")&amp;"-"&amp;TEXT(S17,"00")&amp;"-"&amp;TEXT(T17,"０00"),"")</f>
        <v>精度変換-結合-01-02-01-001</v>
      </c>
      <c r="B17" s="26" t="s">
        <v>51</v>
      </c>
      <c r="C17" s="26" t="s">
        <v>55</v>
      </c>
      <c r="D17" s="26" t="s">
        <v>89</v>
      </c>
      <c r="E17" s="41" t="s">
        <v>45</v>
      </c>
      <c r="F17" s="41"/>
      <c r="G17" s="86" t="s">
        <v>219</v>
      </c>
      <c r="H17" s="86" t="s">
        <v>421</v>
      </c>
      <c r="I17" s="59">
        <v>44951</v>
      </c>
      <c r="J17" s="60" t="s">
        <v>419</v>
      </c>
      <c r="K17" s="61" t="s">
        <v>420</v>
      </c>
      <c r="L17" s="26"/>
      <c r="M17" s="26"/>
      <c r="R17" s="32">
        <f t="shared" si="0"/>
        <v>2</v>
      </c>
      <c r="S17" s="32">
        <f t="shared" si="1"/>
        <v>1</v>
      </c>
      <c r="T17" s="32">
        <f t="shared" si="2"/>
        <v>1</v>
      </c>
    </row>
    <row r="18" spans="1:20" s="25" customFormat="1" ht="52.5" x14ac:dyDescent="0.15">
      <c r="A18" s="49" t="str">
        <f ca="1">IF(B18&lt;&gt;"",表紙!$AB$1&amp;"-"&amp;"結合-"&amp;TEXT($S$1,"00")&amp;"-"&amp;TEXT(R18,"00")&amp;"-"&amp;TEXT(S18,"00")&amp;"-"&amp;TEXT(T18,"０00"),"")</f>
        <v>精度変換-結合-01-02-01-002</v>
      </c>
      <c r="B18" s="26" t="s">
        <v>50</v>
      </c>
      <c r="C18" s="26" t="s">
        <v>54</v>
      </c>
      <c r="D18" s="26" t="s">
        <v>90</v>
      </c>
      <c r="E18" s="41" t="s">
        <v>45</v>
      </c>
      <c r="F18" s="41"/>
      <c r="G18" s="86" t="s">
        <v>234</v>
      </c>
      <c r="H18" s="86" t="s">
        <v>401</v>
      </c>
      <c r="I18" s="59">
        <v>44951</v>
      </c>
      <c r="J18" s="60" t="s">
        <v>419</v>
      </c>
      <c r="K18" s="61" t="s">
        <v>420</v>
      </c>
      <c r="L18" s="26"/>
      <c r="M18" s="26"/>
      <c r="R18" s="32">
        <f t="shared" si="0"/>
        <v>2</v>
      </c>
      <c r="S18" s="32">
        <f t="shared" si="1"/>
        <v>1</v>
      </c>
      <c r="T18" s="32">
        <f t="shared" si="2"/>
        <v>2</v>
      </c>
    </row>
    <row r="19" spans="1:20" s="25" customFormat="1" ht="52.5" x14ac:dyDescent="0.15">
      <c r="A19" s="49" t="str">
        <f ca="1">IF(B19&lt;&gt;"",表紙!$AB$1&amp;"-"&amp;"結合-"&amp;TEXT($S$1,"00")&amp;"-"&amp;TEXT(R19,"00")&amp;"-"&amp;TEXT(S19,"00")&amp;"-"&amp;TEXT(T19,"０00"),"")</f>
        <v>精度変換-結合-01-02-01-003</v>
      </c>
      <c r="B19" s="26" t="s">
        <v>50</v>
      </c>
      <c r="C19" s="26" t="s">
        <v>54</v>
      </c>
      <c r="D19" s="26" t="s">
        <v>91</v>
      </c>
      <c r="E19" s="41" t="s">
        <v>45</v>
      </c>
      <c r="F19" s="41"/>
      <c r="G19" s="86" t="s">
        <v>235</v>
      </c>
      <c r="H19" s="86" t="s">
        <v>401</v>
      </c>
      <c r="I19" s="59">
        <v>44951</v>
      </c>
      <c r="J19" s="60" t="s">
        <v>419</v>
      </c>
      <c r="K19" s="61" t="s">
        <v>420</v>
      </c>
      <c r="L19" s="26"/>
      <c r="M19" s="26"/>
      <c r="R19" s="32">
        <f t="shared" si="0"/>
        <v>2</v>
      </c>
      <c r="S19" s="32">
        <f t="shared" si="1"/>
        <v>1</v>
      </c>
      <c r="T19" s="32">
        <f t="shared" si="2"/>
        <v>3</v>
      </c>
    </row>
    <row r="20" spans="1:20" s="25" customFormat="1" ht="52.5" x14ac:dyDescent="0.15">
      <c r="A20" s="49" t="str">
        <f ca="1">IF(B20&lt;&gt;"",表紙!$AB$1&amp;"-"&amp;"結合-"&amp;TEXT($S$1,"00")&amp;"-"&amp;TEXT(R20,"00")&amp;"-"&amp;TEXT(S20,"00")&amp;"-"&amp;TEXT(T20,"０00"),"")</f>
        <v>精度変換-結合-01-02-01-004</v>
      </c>
      <c r="B20" s="26" t="s">
        <v>50</v>
      </c>
      <c r="C20" s="26" t="s">
        <v>54</v>
      </c>
      <c r="D20" s="26" t="s">
        <v>92</v>
      </c>
      <c r="E20" s="41" t="s">
        <v>45</v>
      </c>
      <c r="F20" s="41"/>
      <c r="G20" s="86" t="s">
        <v>236</v>
      </c>
      <c r="H20" s="86" t="s">
        <v>401</v>
      </c>
      <c r="I20" s="59">
        <v>44951</v>
      </c>
      <c r="J20" s="60" t="s">
        <v>419</v>
      </c>
      <c r="K20" s="61" t="s">
        <v>420</v>
      </c>
      <c r="L20" s="26"/>
      <c r="M20" s="26"/>
      <c r="R20" s="32">
        <f t="shared" si="0"/>
        <v>2</v>
      </c>
      <c r="S20" s="32">
        <f t="shared" si="1"/>
        <v>1</v>
      </c>
      <c r="T20" s="32">
        <f t="shared" si="2"/>
        <v>4</v>
      </c>
    </row>
    <row r="21" spans="1:20" s="25" customFormat="1" ht="52.5" x14ac:dyDescent="0.15">
      <c r="A21" s="49" t="str">
        <f ca="1">IF(B21&lt;&gt;"",表紙!$AB$1&amp;"-"&amp;"結合-"&amp;TEXT($S$1,"00")&amp;"-"&amp;TEXT(R21,"00")&amp;"-"&amp;TEXT(S21,"00")&amp;"-"&amp;TEXT(T21,"０00"),"")</f>
        <v>精度変換-結合-01-02-01-005</v>
      </c>
      <c r="B21" s="26" t="s">
        <v>50</v>
      </c>
      <c r="C21" s="26" t="s">
        <v>54</v>
      </c>
      <c r="D21" s="26" t="s">
        <v>93</v>
      </c>
      <c r="E21" s="41" t="s">
        <v>45</v>
      </c>
      <c r="F21" s="41"/>
      <c r="G21" s="86" t="s">
        <v>237</v>
      </c>
      <c r="H21" s="86" t="s">
        <v>401</v>
      </c>
      <c r="I21" s="59">
        <v>44951</v>
      </c>
      <c r="J21" s="60" t="s">
        <v>419</v>
      </c>
      <c r="K21" s="61" t="s">
        <v>420</v>
      </c>
      <c r="L21" s="26"/>
      <c r="M21" s="26"/>
      <c r="R21" s="32">
        <f t="shared" si="0"/>
        <v>2</v>
      </c>
      <c r="S21" s="32">
        <f t="shared" si="1"/>
        <v>1</v>
      </c>
      <c r="T21" s="32">
        <f t="shared" si="2"/>
        <v>5</v>
      </c>
    </row>
    <row r="22" spans="1:20" s="25" customFormat="1" ht="52.5" x14ac:dyDescent="0.15">
      <c r="A22" s="49" t="str">
        <f ca="1">IF(B22&lt;&gt;"",表紙!$AB$1&amp;"-"&amp;"結合-"&amp;TEXT($S$1,"00")&amp;"-"&amp;TEXT(R22,"00")&amp;"-"&amp;TEXT(S22,"00")&amp;"-"&amp;TEXT(T22,"０00"),"")</f>
        <v>精度変換-結合-01-02-01-006</v>
      </c>
      <c r="B22" s="26" t="s">
        <v>50</v>
      </c>
      <c r="C22" s="26" t="s">
        <v>54</v>
      </c>
      <c r="D22" s="26" t="s">
        <v>94</v>
      </c>
      <c r="E22" s="41" t="s">
        <v>45</v>
      </c>
      <c r="F22" s="41"/>
      <c r="G22" s="86" t="s">
        <v>238</v>
      </c>
      <c r="H22" s="86" t="s">
        <v>401</v>
      </c>
      <c r="I22" s="59">
        <v>44951</v>
      </c>
      <c r="J22" s="60" t="s">
        <v>419</v>
      </c>
      <c r="K22" s="61" t="s">
        <v>420</v>
      </c>
      <c r="L22" s="26"/>
      <c r="M22" s="26"/>
      <c r="R22" s="32">
        <f t="shared" si="0"/>
        <v>2</v>
      </c>
      <c r="S22" s="32">
        <f t="shared" si="1"/>
        <v>1</v>
      </c>
      <c r="T22" s="32">
        <f t="shared" si="2"/>
        <v>6</v>
      </c>
    </row>
    <row r="23" spans="1:20" s="25" customFormat="1" ht="52.5" x14ac:dyDescent="0.15">
      <c r="A23" s="49" t="str">
        <f ca="1">IF(B23&lt;&gt;"",表紙!$AB$1&amp;"-"&amp;"結合-"&amp;TEXT($S$1,"00")&amp;"-"&amp;TEXT(R23,"00")&amp;"-"&amp;TEXT(S23,"00")&amp;"-"&amp;TEXT(T23,"０00"),"")</f>
        <v>精度変換-結合-01-02-01-007</v>
      </c>
      <c r="B23" s="26" t="s">
        <v>50</v>
      </c>
      <c r="C23" s="26" t="s">
        <v>54</v>
      </c>
      <c r="D23" s="26" t="s">
        <v>95</v>
      </c>
      <c r="E23" s="41" t="s">
        <v>45</v>
      </c>
      <c r="F23" s="41"/>
      <c r="G23" s="86" t="s">
        <v>239</v>
      </c>
      <c r="H23" s="86" t="s">
        <v>401</v>
      </c>
      <c r="I23" s="59">
        <v>44951</v>
      </c>
      <c r="J23" s="60" t="s">
        <v>419</v>
      </c>
      <c r="K23" s="61" t="s">
        <v>420</v>
      </c>
      <c r="L23" s="26"/>
      <c r="M23" s="26"/>
      <c r="R23" s="32">
        <f t="shared" si="0"/>
        <v>2</v>
      </c>
      <c r="S23" s="32">
        <f t="shared" si="1"/>
        <v>1</v>
      </c>
      <c r="T23" s="32">
        <f t="shared" si="2"/>
        <v>7</v>
      </c>
    </row>
    <row r="24" spans="1:20" s="25" customFormat="1" ht="52.5" x14ac:dyDescent="0.15">
      <c r="A24" s="49" t="str">
        <f ca="1">IF(B24&lt;&gt;"",表紙!$AB$1&amp;"-"&amp;"結合-"&amp;TEXT($S$1,"00")&amp;"-"&amp;TEXT(R24,"00")&amp;"-"&amp;TEXT(S24,"00")&amp;"-"&amp;TEXT(T24,"０00"),"")</f>
        <v>精度変換-結合-01-02-01-008</v>
      </c>
      <c r="B24" s="26" t="s">
        <v>50</v>
      </c>
      <c r="C24" s="26" t="s">
        <v>54</v>
      </c>
      <c r="D24" s="26" t="s">
        <v>96</v>
      </c>
      <c r="E24" s="41" t="s">
        <v>45</v>
      </c>
      <c r="F24" s="41"/>
      <c r="G24" s="86" t="s">
        <v>240</v>
      </c>
      <c r="H24" s="86" t="s">
        <v>401</v>
      </c>
      <c r="I24" s="59">
        <v>44951</v>
      </c>
      <c r="J24" s="60" t="s">
        <v>419</v>
      </c>
      <c r="K24" s="61" t="s">
        <v>420</v>
      </c>
      <c r="L24" s="26"/>
      <c r="M24" s="26"/>
      <c r="R24" s="32">
        <f t="shared" si="0"/>
        <v>2</v>
      </c>
      <c r="S24" s="32">
        <f t="shared" si="1"/>
        <v>1</v>
      </c>
      <c r="T24" s="32">
        <f t="shared" si="2"/>
        <v>8</v>
      </c>
    </row>
    <row r="25" spans="1:20" s="25" customFormat="1" ht="52.5" x14ac:dyDescent="0.15">
      <c r="A25" s="49" t="str">
        <f ca="1">IF(B25&lt;&gt;"",表紙!$AB$1&amp;"-"&amp;"結合-"&amp;TEXT($S$1,"00")&amp;"-"&amp;TEXT(R25,"00")&amp;"-"&amp;TEXT(S25,"00")&amp;"-"&amp;TEXT(T25,"０00"),"")</f>
        <v>精度変換-結合-01-02-01-009</v>
      </c>
      <c r="B25" s="26" t="s">
        <v>50</v>
      </c>
      <c r="C25" s="26" t="s">
        <v>54</v>
      </c>
      <c r="D25" s="26" t="s">
        <v>97</v>
      </c>
      <c r="E25" s="41" t="s">
        <v>45</v>
      </c>
      <c r="F25" s="41"/>
      <c r="G25" s="86" t="s">
        <v>241</v>
      </c>
      <c r="H25" s="86" t="s">
        <v>401</v>
      </c>
      <c r="I25" s="59">
        <v>44951</v>
      </c>
      <c r="J25" s="60" t="s">
        <v>419</v>
      </c>
      <c r="K25" s="61" t="s">
        <v>420</v>
      </c>
      <c r="L25" s="26"/>
      <c r="M25" s="26"/>
      <c r="R25" s="32">
        <f t="shared" si="0"/>
        <v>2</v>
      </c>
      <c r="S25" s="32">
        <f t="shared" si="1"/>
        <v>1</v>
      </c>
      <c r="T25" s="32">
        <f t="shared" si="2"/>
        <v>9</v>
      </c>
    </row>
    <row r="26" spans="1:20" s="25" customFormat="1" ht="52.5" x14ac:dyDescent="0.15">
      <c r="A26" s="49" t="str">
        <f ca="1">IF(B26&lt;&gt;"",表紙!$AB$1&amp;"-"&amp;"結合-"&amp;TEXT($S$1,"00")&amp;"-"&amp;TEXT(R26,"00")&amp;"-"&amp;TEXT(S26,"00")&amp;"-"&amp;TEXT(T26,"０00"),"")</f>
        <v>精度変換-結合-01-02-01-010</v>
      </c>
      <c r="B26" s="26" t="s">
        <v>50</v>
      </c>
      <c r="C26" s="26" t="s">
        <v>54</v>
      </c>
      <c r="D26" s="26" t="s">
        <v>402</v>
      </c>
      <c r="E26" s="41" t="s">
        <v>45</v>
      </c>
      <c r="F26" s="41"/>
      <c r="G26" s="86" t="s">
        <v>405</v>
      </c>
      <c r="H26" s="86" t="s">
        <v>406</v>
      </c>
      <c r="I26" s="59">
        <v>44951</v>
      </c>
      <c r="J26" s="60" t="s">
        <v>419</v>
      </c>
      <c r="K26" s="61" t="s">
        <v>420</v>
      </c>
      <c r="L26" s="26"/>
      <c r="M26" s="26"/>
      <c r="R26" s="32">
        <f t="shared" ref="R26" si="3">IF(ROW()&lt;&gt;3,IF(B25&lt;&gt;B26,R25+1,R25),1)</f>
        <v>2</v>
      </c>
      <c r="S26" s="32">
        <f t="shared" ref="S26" si="4">IF(B25=B26,IF(C25&lt;&gt;C26,S25+1,S25),1)</f>
        <v>1</v>
      </c>
      <c r="T26" s="32">
        <f t="shared" ref="T26" si="5">IF(B25&lt;&gt;B26,1,IF(C25=C26,T25+1,1))</f>
        <v>10</v>
      </c>
    </row>
    <row r="27" spans="1:20" s="25" customFormat="1" ht="52.5" x14ac:dyDescent="0.15">
      <c r="A27" s="49" t="str">
        <f ca="1">IF(B27&lt;&gt;"",表紙!$AB$1&amp;"-"&amp;"結合-"&amp;TEXT($S$1,"00")&amp;"-"&amp;TEXT(R27,"00")&amp;"-"&amp;TEXT(S27,"00")&amp;"-"&amp;TEXT(T27,"０00"),"")</f>
        <v>精度変換-結合-01-02-01-011</v>
      </c>
      <c r="B27" s="26" t="s">
        <v>50</v>
      </c>
      <c r="C27" s="26" t="s">
        <v>54</v>
      </c>
      <c r="D27" s="26" t="s">
        <v>403</v>
      </c>
      <c r="E27" s="41" t="s">
        <v>45</v>
      </c>
      <c r="F27" s="41"/>
      <c r="G27" s="86" t="s">
        <v>404</v>
      </c>
      <c r="H27" s="86" t="s">
        <v>406</v>
      </c>
      <c r="I27" s="59">
        <v>44951</v>
      </c>
      <c r="J27" s="60" t="s">
        <v>419</v>
      </c>
      <c r="K27" s="61" t="s">
        <v>420</v>
      </c>
      <c r="L27" s="26"/>
      <c r="M27" s="26"/>
      <c r="R27" s="32">
        <f t="shared" ref="R27" si="6">IF(ROW()&lt;&gt;3,IF(B26&lt;&gt;B27,R26+1,R26),1)</f>
        <v>2</v>
      </c>
      <c r="S27" s="32">
        <f t="shared" ref="S27" si="7">IF(B26=B27,IF(C26&lt;&gt;C27,S26+1,S26),1)</f>
        <v>1</v>
      </c>
      <c r="T27" s="32">
        <f t="shared" ref="T27" si="8">IF(B26&lt;&gt;B27,1,IF(C26=C27,T26+1,1))</f>
        <v>11</v>
      </c>
    </row>
    <row r="28" spans="1:20" s="25" customFormat="1" ht="21" x14ac:dyDescent="0.15">
      <c r="A28" s="49" t="str">
        <f ca="1">IF(B28&lt;&gt;"",表紙!$AB$1&amp;"-"&amp;"結合-"&amp;TEXT($S$1,"00")&amp;"-"&amp;TEXT(R28,"00")&amp;"-"&amp;TEXT(S28,"00")&amp;"-"&amp;TEXT(T28,"０00"),"")</f>
        <v>精度変換-結合-01-02-02-001</v>
      </c>
      <c r="B28" s="26" t="s">
        <v>50</v>
      </c>
      <c r="C28" s="26" t="s">
        <v>56</v>
      </c>
      <c r="D28" s="26"/>
      <c r="E28" s="41"/>
      <c r="F28" s="41"/>
      <c r="G28" s="33"/>
      <c r="H28" s="33"/>
      <c r="I28" s="59"/>
      <c r="J28" s="60"/>
      <c r="K28" s="61"/>
      <c r="L28" s="26"/>
      <c r="M28" s="26" t="str">
        <f ca="1">$A$17</f>
        <v>精度変換-結合-01-02-01-001</v>
      </c>
      <c r="R28" s="32">
        <f>IF(ROW()&lt;&gt;3,IF(B25&lt;&gt;B28,R25+1,R25),1)</f>
        <v>2</v>
      </c>
      <c r="S28" s="32">
        <f>IF(B25=B28,IF(C25&lt;&gt;C28,S25+1,S25),1)</f>
        <v>2</v>
      </c>
      <c r="T28" s="32">
        <f>IF(B25&lt;&gt;B28,1,IF(C25=C28,T25+1,1))</f>
        <v>1</v>
      </c>
    </row>
    <row r="29" spans="1:20" s="25" customFormat="1" ht="52.5" x14ac:dyDescent="0.15">
      <c r="A29" s="49" t="str">
        <f ca="1">IF(B29&lt;&gt;"",表紙!$AB$1&amp;"-"&amp;"結合-"&amp;TEXT($S$1,"00")&amp;"-"&amp;TEXT(R29,"00")&amp;"-"&amp;TEXT(S29,"00")&amp;"-"&amp;TEXT(T29,"０00"),"")</f>
        <v>精度変換-結合-01-02-03-001</v>
      </c>
      <c r="B29" s="26" t="s">
        <v>50</v>
      </c>
      <c r="C29" s="26" t="s">
        <v>57</v>
      </c>
      <c r="D29" s="26" t="s">
        <v>99</v>
      </c>
      <c r="E29" s="41" t="s">
        <v>45</v>
      </c>
      <c r="F29" s="41"/>
      <c r="G29" s="86" t="s">
        <v>338</v>
      </c>
      <c r="H29" s="86" t="s">
        <v>339</v>
      </c>
      <c r="I29" s="59">
        <v>44951</v>
      </c>
      <c r="J29" s="60" t="s">
        <v>419</v>
      </c>
      <c r="K29" s="61" t="s">
        <v>420</v>
      </c>
      <c r="L29" s="26"/>
      <c r="M29" s="26"/>
      <c r="R29" s="32">
        <f t="shared" si="0"/>
        <v>2</v>
      </c>
      <c r="S29" s="32">
        <f t="shared" si="1"/>
        <v>3</v>
      </c>
      <c r="T29" s="32">
        <f t="shared" si="2"/>
        <v>1</v>
      </c>
    </row>
    <row r="30" spans="1:20" s="25" customFormat="1" ht="52.5" x14ac:dyDescent="0.15">
      <c r="A30" s="49" t="str">
        <f ca="1">IF(B30&lt;&gt;"",表紙!$AB$1&amp;"-"&amp;"結合-"&amp;TEXT($S$1,"00")&amp;"-"&amp;TEXT(R30,"00")&amp;"-"&amp;TEXT(S30,"00")&amp;"-"&amp;TEXT(T30,"０00"),"")</f>
        <v>精度変換-結合-01-02-03-002</v>
      </c>
      <c r="B30" s="26" t="s">
        <v>50</v>
      </c>
      <c r="C30" s="26" t="s">
        <v>57</v>
      </c>
      <c r="D30" s="26" t="s">
        <v>100</v>
      </c>
      <c r="E30" s="41" t="s">
        <v>45</v>
      </c>
      <c r="F30" s="41"/>
      <c r="G30" s="86" t="s">
        <v>340</v>
      </c>
      <c r="H30" s="86" t="s">
        <v>218</v>
      </c>
      <c r="I30" s="59">
        <v>44951</v>
      </c>
      <c r="J30" s="60" t="s">
        <v>419</v>
      </c>
      <c r="K30" s="61" t="s">
        <v>420</v>
      </c>
      <c r="L30" s="26"/>
      <c r="M30" s="26"/>
      <c r="R30" s="32">
        <f t="shared" si="0"/>
        <v>2</v>
      </c>
      <c r="S30" s="32">
        <f t="shared" si="1"/>
        <v>3</v>
      </c>
      <c r="T30" s="32">
        <f t="shared" si="2"/>
        <v>2</v>
      </c>
    </row>
    <row r="31" spans="1:20" s="25" customFormat="1" ht="63" x14ac:dyDescent="0.15">
      <c r="A31" s="49" t="str">
        <f ca="1">IF(B31&lt;&gt;"",表紙!$AB$1&amp;"-"&amp;"結合-"&amp;TEXT($S$1,"00")&amp;"-"&amp;TEXT(R31,"00")&amp;"-"&amp;TEXT(S31,"00")&amp;"-"&amp;TEXT(T31,"０00"),"")</f>
        <v>精度変換-結合-01-02-04-001</v>
      </c>
      <c r="B31" s="26" t="s">
        <v>50</v>
      </c>
      <c r="C31" s="26" t="s">
        <v>58</v>
      </c>
      <c r="D31" s="26" t="s">
        <v>130</v>
      </c>
      <c r="E31" s="41" t="s">
        <v>45</v>
      </c>
      <c r="F31" s="41"/>
      <c r="G31" s="86" t="s">
        <v>224</v>
      </c>
      <c r="H31" s="86" t="s">
        <v>222</v>
      </c>
      <c r="I31" s="59">
        <v>44951</v>
      </c>
      <c r="J31" s="60" t="s">
        <v>419</v>
      </c>
      <c r="K31" s="61" t="s">
        <v>420</v>
      </c>
      <c r="L31" s="26"/>
      <c r="M31" s="26"/>
      <c r="R31" s="32">
        <f t="shared" si="0"/>
        <v>2</v>
      </c>
      <c r="S31" s="32">
        <f t="shared" si="1"/>
        <v>4</v>
      </c>
      <c r="T31" s="32">
        <f t="shared" si="2"/>
        <v>1</v>
      </c>
    </row>
    <row r="32" spans="1:20" s="25" customFormat="1" ht="63" x14ac:dyDescent="0.15">
      <c r="A32" s="49" t="str">
        <f ca="1">IF(B32&lt;&gt;"",表紙!$AB$1&amp;"-"&amp;"結合-"&amp;TEXT($S$1,"00")&amp;"-"&amp;TEXT(R32,"00")&amp;"-"&amp;TEXT(S32,"00")&amp;"-"&amp;TEXT(T32,"０00"),"")</f>
        <v>精度変換-結合-01-02-04-002</v>
      </c>
      <c r="B32" s="26" t="s">
        <v>50</v>
      </c>
      <c r="C32" s="26" t="s">
        <v>58</v>
      </c>
      <c r="D32" s="26" t="s">
        <v>131</v>
      </c>
      <c r="E32" s="41" t="s">
        <v>45</v>
      </c>
      <c r="F32" s="41"/>
      <c r="G32" s="86" t="s">
        <v>242</v>
      </c>
      <c r="H32" s="86" t="s">
        <v>243</v>
      </c>
      <c r="I32" s="59">
        <v>44951</v>
      </c>
      <c r="J32" s="60" t="s">
        <v>419</v>
      </c>
      <c r="K32" s="61" t="s">
        <v>420</v>
      </c>
      <c r="L32" s="26"/>
      <c r="M32" s="26"/>
      <c r="R32" s="32">
        <f t="shared" si="0"/>
        <v>2</v>
      </c>
      <c r="S32" s="32">
        <f t="shared" si="1"/>
        <v>4</v>
      </c>
      <c r="T32" s="32">
        <f t="shared" si="2"/>
        <v>2</v>
      </c>
    </row>
    <row r="33" spans="1:20" s="25" customFormat="1" ht="63" x14ac:dyDescent="0.15">
      <c r="A33" s="49" t="str">
        <f ca="1">IF(B33&lt;&gt;"",表紙!$AB$1&amp;"-"&amp;"結合-"&amp;TEXT($S$1,"00")&amp;"-"&amp;TEXT(R33,"00")&amp;"-"&amp;TEXT(S33,"00")&amp;"-"&amp;TEXT(T33,"０00"),"")</f>
        <v>精度変換-結合-01-02-04-003</v>
      </c>
      <c r="B33" s="26" t="s">
        <v>50</v>
      </c>
      <c r="C33" s="26" t="s">
        <v>58</v>
      </c>
      <c r="D33" s="26" t="s">
        <v>132</v>
      </c>
      <c r="E33" s="41" t="s">
        <v>45</v>
      </c>
      <c r="F33" s="41"/>
      <c r="G33" s="86" t="s">
        <v>244</v>
      </c>
      <c r="H33" s="86" t="s">
        <v>245</v>
      </c>
      <c r="I33" s="59">
        <v>44951</v>
      </c>
      <c r="J33" s="60" t="s">
        <v>419</v>
      </c>
      <c r="K33" s="61" t="s">
        <v>420</v>
      </c>
      <c r="L33" s="26"/>
      <c r="M33" s="26"/>
      <c r="R33" s="32">
        <f t="shared" si="0"/>
        <v>2</v>
      </c>
      <c r="S33" s="32">
        <f t="shared" si="1"/>
        <v>4</v>
      </c>
      <c r="T33" s="32">
        <f t="shared" si="2"/>
        <v>3</v>
      </c>
    </row>
    <row r="34" spans="1:20" s="25" customFormat="1" ht="63" x14ac:dyDescent="0.15">
      <c r="A34" s="49" t="str">
        <f ca="1">IF(B34&lt;&gt;"",表紙!$AB$1&amp;"-"&amp;"結合-"&amp;TEXT($S$1,"00")&amp;"-"&amp;TEXT(R34,"00")&amp;"-"&amp;TEXT(S34,"00")&amp;"-"&amp;TEXT(T34,"０00"),"")</f>
        <v>精度変換-結合-01-02-04-004</v>
      </c>
      <c r="B34" s="26" t="s">
        <v>50</v>
      </c>
      <c r="C34" s="26" t="s">
        <v>58</v>
      </c>
      <c r="D34" s="26" t="s">
        <v>133</v>
      </c>
      <c r="E34" s="41" t="s">
        <v>45</v>
      </c>
      <c r="F34" s="41"/>
      <c r="G34" s="86" t="s">
        <v>246</v>
      </c>
      <c r="H34" s="86" t="s">
        <v>247</v>
      </c>
      <c r="I34" s="59">
        <v>44951</v>
      </c>
      <c r="J34" s="60" t="s">
        <v>419</v>
      </c>
      <c r="K34" s="61" t="s">
        <v>420</v>
      </c>
      <c r="L34" s="26"/>
      <c r="M34" s="26"/>
      <c r="R34" s="32">
        <f t="shared" si="0"/>
        <v>2</v>
      </c>
      <c r="S34" s="32">
        <f t="shared" si="1"/>
        <v>4</v>
      </c>
      <c r="T34" s="32">
        <f t="shared" si="2"/>
        <v>4</v>
      </c>
    </row>
    <row r="35" spans="1:20" s="25" customFormat="1" ht="52.5" x14ac:dyDescent="0.15">
      <c r="A35" s="49" t="str">
        <f ca="1">IF(B35&lt;&gt;"",表紙!$AB$1&amp;"-"&amp;"結合-"&amp;TEXT($S$1,"00")&amp;"-"&amp;TEXT(R35,"00")&amp;"-"&amp;TEXT(S35,"00")&amp;"-"&amp;TEXT(T35,"０00"),"")</f>
        <v>精度変換-結合-01-02-05-001</v>
      </c>
      <c r="B35" s="26" t="s">
        <v>50</v>
      </c>
      <c r="C35" s="26" t="s">
        <v>60</v>
      </c>
      <c r="D35" s="26" t="s">
        <v>114</v>
      </c>
      <c r="E35" s="41" t="s">
        <v>45</v>
      </c>
      <c r="F35" s="41"/>
      <c r="G35" s="86" t="s">
        <v>221</v>
      </c>
      <c r="H35" s="86" t="s">
        <v>218</v>
      </c>
      <c r="I35" s="59">
        <v>44952</v>
      </c>
      <c r="J35" s="60" t="s">
        <v>419</v>
      </c>
      <c r="K35" s="61" t="s">
        <v>420</v>
      </c>
      <c r="L35" s="26"/>
      <c r="M35" s="26"/>
      <c r="R35" s="32">
        <f t="shared" si="0"/>
        <v>2</v>
      </c>
      <c r="S35" s="32">
        <f t="shared" si="1"/>
        <v>5</v>
      </c>
      <c r="T35" s="32">
        <f t="shared" si="2"/>
        <v>1</v>
      </c>
    </row>
    <row r="36" spans="1:20" s="25" customFormat="1" ht="52.5" x14ac:dyDescent="0.15">
      <c r="A36" s="49" t="str">
        <f ca="1">IF(B36&lt;&gt;"",表紙!$AB$1&amp;"-"&amp;"結合-"&amp;TEXT($S$1,"00")&amp;"-"&amp;TEXT(R36,"00")&amp;"-"&amp;TEXT(S36,"00")&amp;"-"&amp;TEXT(T36,"０00"),"")</f>
        <v>精度変換-結合-01-02-05-002</v>
      </c>
      <c r="B36" s="26" t="s">
        <v>50</v>
      </c>
      <c r="C36" s="26" t="s">
        <v>59</v>
      </c>
      <c r="D36" s="26" t="s">
        <v>115</v>
      </c>
      <c r="E36" s="41" t="s">
        <v>45</v>
      </c>
      <c r="F36" s="41"/>
      <c r="G36" s="86" t="s">
        <v>248</v>
      </c>
      <c r="H36" s="86" t="s">
        <v>218</v>
      </c>
      <c r="I36" s="59">
        <v>44952</v>
      </c>
      <c r="J36" s="60" t="s">
        <v>419</v>
      </c>
      <c r="K36" s="61" t="s">
        <v>420</v>
      </c>
      <c r="L36" s="26"/>
      <c r="M36" s="26"/>
      <c r="R36" s="32">
        <f t="shared" si="0"/>
        <v>2</v>
      </c>
      <c r="S36" s="32">
        <f t="shared" si="1"/>
        <v>5</v>
      </c>
      <c r="T36" s="32">
        <f t="shared" si="2"/>
        <v>2</v>
      </c>
    </row>
    <row r="37" spans="1:20" s="25" customFormat="1" ht="52.5" x14ac:dyDescent="0.15">
      <c r="A37" s="49" t="str">
        <f ca="1">IF(B37&lt;&gt;"",表紙!$AB$1&amp;"-"&amp;"結合-"&amp;TEXT($S$1,"00")&amp;"-"&amp;TEXT(R37,"00")&amp;"-"&amp;TEXT(S37,"00")&amp;"-"&amp;TEXT(T37,"０00"),"")</f>
        <v>精度変換-結合-01-02-05-003</v>
      </c>
      <c r="B37" s="26" t="s">
        <v>50</v>
      </c>
      <c r="C37" s="26" t="s">
        <v>59</v>
      </c>
      <c r="D37" s="26" t="s">
        <v>116</v>
      </c>
      <c r="E37" s="41" t="s">
        <v>45</v>
      </c>
      <c r="F37" s="41"/>
      <c r="G37" s="86" t="s">
        <v>249</v>
      </c>
      <c r="H37" s="86" t="s">
        <v>218</v>
      </c>
      <c r="I37" s="59">
        <v>44952</v>
      </c>
      <c r="J37" s="60" t="s">
        <v>419</v>
      </c>
      <c r="K37" s="61" t="s">
        <v>420</v>
      </c>
      <c r="L37" s="26"/>
      <c r="M37" s="26"/>
      <c r="R37" s="32">
        <f t="shared" si="0"/>
        <v>2</v>
      </c>
      <c r="S37" s="32">
        <f t="shared" si="1"/>
        <v>5</v>
      </c>
      <c r="T37" s="32">
        <f t="shared" si="2"/>
        <v>3</v>
      </c>
    </row>
    <row r="38" spans="1:20" s="25" customFormat="1" ht="52.5" x14ac:dyDescent="0.15">
      <c r="A38" s="49" t="str">
        <f ca="1">IF(B38&lt;&gt;"",表紙!$AB$1&amp;"-"&amp;"結合-"&amp;TEXT($S$1,"00")&amp;"-"&amp;TEXT(R38,"00")&amp;"-"&amp;TEXT(S38,"00")&amp;"-"&amp;TEXT(T38,"０00"),"")</f>
        <v>精度変換-結合-01-02-05-004</v>
      </c>
      <c r="B38" s="26" t="s">
        <v>50</v>
      </c>
      <c r="C38" s="26" t="s">
        <v>59</v>
      </c>
      <c r="D38" s="26" t="s">
        <v>117</v>
      </c>
      <c r="E38" s="41" t="s">
        <v>45</v>
      </c>
      <c r="F38" s="41"/>
      <c r="G38" s="86" t="s">
        <v>250</v>
      </c>
      <c r="H38" s="86" t="s">
        <v>218</v>
      </c>
      <c r="I38" s="59">
        <v>44952</v>
      </c>
      <c r="J38" s="60" t="s">
        <v>419</v>
      </c>
      <c r="K38" s="61" t="s">
        <v>420</v>
      </c>
      <c r="L38" s="26"/>
      <c r="M38" s="26"/>
      <c r="R38" s="32">
        <f t="shared" si="0"/>
        <v>2</v>
      </c>
      <c r="S38" s="32">
        <f t="shared" si="1"/>
        <v>5</v>
      </c>
      <c r="T38" s="32">
        <f t="shared" si="2"/>
        <v>4</v>
      </c>
    </row>
    <row r="39" spans="1:20" s="25" customFormat="1" ht="52.5" x14ac:dyDescent="0.15">
      <c r="A39" s="49" t="str">
        <f ca="1">IF(B39&lt;&gt;"",表紙!$AB$1&amp;"-"&amp;"結合-"&amp;TEXT($S$1,"00")&amp;"-"&amp;TEXT(R39,"00")&amp;"-"&amp;TEXT(S39,"00")&amp;"-"&amp;TEXT(T39,"０00"),"")</f>
        <v>精度変換-結合-01-02-05-005</v>
      </c>
      <c r="B39" s="26" t="s">
        <v>50</v>
      </c>
      <c r="C39" s="26" t="s">
        <v>59</v>
      </c>
      <c r="D39" s="26" t="s">
        <v>118</v>
      </c>
      <c r="E39" s="41" t="s">
        <v>45</v>
      </c>
      <c r="F39" s="41"/>
      <c r="G39" s="86" t="s">
        <v>251</v>
      </c>
      <c r="H39" s="86" t="s">
        <v>218</v>
      </c>
      <c r="I39" s="59">
        <v>44952</v>
      </c>
      <c r="J39" s="60" t="s">
        <v>419</v>
      </c>
      <c r="K39" s="61" t="s">
        <v>420</v>
      </c>
      <c r="L39" s="26"/>
      <c r="M39" s="26"/>
      <c r="R39" s="32">
        <f t="shared" si="0"/>
        <v>2</v>
      </c>
      <c r="S39" s="32">
        <f t="shared" si="1"/>
        <v>5</v>
      </c>
      <c r="T39" s="32">
        <f t="shared" si="2"/>
        <v>5</v>
      </c>
    </row>
    <row r="40" spans="1:20" s="25" customFormat="1" ht="52.5" x14ac:dyDescent="0.15">
      <c r="A40" s="49" t="str">
        <f ca="1">IF(B40&lt;&gt;"",表紙!$AB$1&amp;"-"&amp;"結合-"&amp;TEXT($S$1,"00")&amp;"-"&amp;TEXT(R40,"00")&amp;"-"&amp;TEXT(S40,"00")&amp;"-"&amp;TEXT(T40,"０00"),"")</f>
        <v>精度変換-結合-01-02-05-006</v>
      </c>
      <c r="B40" s="26" t="s">
        <v>50</v>
      </c>
      <c r="C40" s="26" t="s">
        <v>59</v>
      </c>
      <c r="D40" s="26" t="s">
        <v>119</v>
      </c>
      <c r="E40" s="41" t="s">
        <v>45</v>
      </c>
      <c r="F40" s="41"/>
      <c r="G40" s="86" t="s">
        <v>252</v>
      </c>
      <c r="H40" s="86" t="s">
        <v>218</v>
      </c>
      <c r="I40" s="59">
        <v>44952</v>
      </c>
      <c r="J40" s="60" t="s">
        <v>419</v>
      </c>
      <c r="K40" s="61" t="s">
        <v>420</v>
      </c>
      <c r="L40" s="26"/>
      <c r="M40" s="26"/>
      <c r="R40" s="32">
        <f t="shared" si="0"/>
        <v>2</v>
      </c>
      <c r="S40" s="32">
        <f t="shared" si="1"/>
        <v>5</v>
      </c>
      <c r="T40" s="32">
        <f t="shared" si="2"/>
        <v>6</v>
      </c>
    </row>
    <row r="41" spans="1:20" s="25" customFormat="1" ht="126" x14ac:dyDescent="0.15">
      <c r="A41" s="49" t="str">
        <f ca="1">IF(B41&lt;&gt;"",表紙!$AB$1&amp;"-"&amp;"結合-"&amp;TEXT($S$1,"00")&amp;"-"&amp;TEXT(R41,"00")&amp;"-"&amp;TEXT(S41,"00")&amp;"-"&amp;TEXT(T41,"０00"),"")</f>
        <v>精度変換-結合-01-02-06-001</v>
      </c>
      <c r="B41" s="26" t="s">
        <v>50</v>
      </c>
      <c r="C41" s="26" t="s">
        <v>61</v>
      </c>
      <c r="D41" s="26" t="s">
        <v>98</v>
      </c>
      <c r="E41" s="41" t="s">
        <v>45</v>
      </c>
      <c r="F41" s="41"/>
      <c r="G41" s="86" t="s">
        <v>325</v>
      </c>
      <c r="H41" s="86" t="s">
        <v>326</v>
      </c>
      <c r="I41" s="59">
        <v>44952</v>
      </c>
      <c r="J41" s="60" t="s">
        <v>419</v>
      </c>
      <c r="K41" s="61" t="s">
        <v>420</v>
      </c>
      <c r="L41" s="26"/>
      <c r="M41" s="26"/>
      <c r="R41" s="32">
        <f t="shared" si="0"/>
        <v>2</v>
      </c>
      <c r="S41" s="32">
        <f t="shared" si="1"/>
        <v>6</v>
      </c>
      <c r="T41" s="32">
        <f t="shared" si="2"/>
        <v>1</v>
      </c>
    </row>
    <row r="42" spans="1:20" s="25" customFormat="1" ht="52.5" x14ac:dyDescent="0.15">
      <c r="A42" s="49" t="str">
        <f ca="1">IF(B42&lt;&gt;"",表紙!$AB$1&amp;"-"&amp;"結合-"&amp;TEXT($S$1,"00")&amp;"-"&amp;TEXT(R42,"00")&amp;"-"&amp;TEXT(S42,"00")&amp;"-"&amp;TEXT(T42,"０00"),"")</f>
        <v>精度変換-結合-01-02-07-001</v>
      </c>
      <c r="B42" s="26" t="s">
        <v>50</v>
      </c>
      <c r="C42" s="26" t="s">
        <v>63</v>
      </c>
      <c r="D42" s="26" t="s">
        <v>64</v>
      </c>
      <c r="E42" s="41" t="s">
        <v>45</v>
      </c>
      <c r="F42" s="41"/>
      <c r="G42" s="86" t="s">
        <v>220</v>
      </c>
      <c r="H42" s="86" t="s">
        <v>218</v>
      </c>
      <c r="I42" s="59">
        <v>44952</v>
      </c>
      <c r="J42" s="60" t="s">
        <v>419</v>
      </c>
      <c r="K42" s="61" t="s">
        <v>420</v>
      </c>
      <c r="L42" s="26"/>
      <c r="M42" s="26"/>
      <c r="R42" s="32">
        <f t="shared" si="0"/>
        <v>2</v>
      </c>
      <c r="S42" s="32">
        <f t="shared" si="1"/>
        <v>7</v>
      </c>
      <c r="T42" s="32">
        <f t="shared" si="2"/>
        <v>1</v>
      </c>
    </row>
    <row r="43" spans="1:20" s="25" customFormat="1" ht="52.5" x14ac:dyDescent="0.15">
      <c r="A43" s="49" t="str">
        <f ca="1">IF(B43&lt;&gt;"",表紙!$AB$1&amp;"-"&amp;"結合-"&amp;TEXT($S$1,"00")&amp;"-"&amp;TEXT(R43,"00")&amp;"-"&amp;TEXT(S43,"00")&amp;"-"&amp;TEXT(T43,"０00"),"")</f>
        <v>精度変換-結合-01-02-07-002</v>
      </c>
      <c r="B43" s="26" t="s">
        <v>50</v>
      </c>
      <c r="C43" s="26" t="s">
        <v>62</v>
      </c>
      <c r="D43" s="26" t="s">
        <v>65</v>
      </c>
      <c r="E43" s="41" t="s">
        <v>45</v>
      </c>
      <c r="F43" s="41"/>
      <c r="G43" s="86" t="s">
        <v>253</v>
      </c>
      <c r="H43" s="86" t="s">
        <v>218</v>
      </c>
      <c r="I43" s="59">
        <v>44952</v>
      </c>
      <c r="J43" s="60" t="s">
        <v>419</v>
      </c>
      <c r="K43" s="61" t="s">
        <v>420</v>
      </c>
      <c r="L43" s="26"/>
      <c r="M43" s="26"/>
      <c r="R43" s="32">
        <f t="shared" si="0"/>
        <v>2</v>
      </c>
      <c r="S43" s="32">
        <f t="shared" si="1"/>
        <v>7</v>
      </c>
      <c r="T43" s="32">
        <f t="shared" si="2"/>
        <v>2</v>
      </c>
    </row>
    <row r="44" spans="1:20" s="25" customFormat="1" ht="52.5" x14ac:dyDescent="0.15">
      <c r="A44" s="49" t="str">
        <f ca="1">IF(B44&lt;&gt;"",表紙!$AB$1&amp;"-"&amp;"結合-"&amp;TEXT($S$1,"00")&amp;"-"&amp;TEXT(R44,"00")&amp;"-"&amp;TEXT(S44,"00")&amp;"-"&amp;TEXT(T44,"０00"),"")</f>
        <v>精度変換-結合-01-02-08-001</v>
      </c>
      <c r="B44" s="26" t="s">
        <v>50</v>
      </c>
      <c r="C44" s="26" t="s">
        <v>66</v>
      </c>
      <c r="D44" s="26" t="s">
        <v>64</v>
      </c>
      <c r="E44" s="41" t="s">
        <v>45</v>
      </c>
      <c r="F44" s="41"/>
      <c r="G44" s="86" t="s">
        <v>254</v>
      </c>
      <c r="H44" s="86" t="s">
        <v>218</v>
      </c>
      <c r="I44" s="59">
        <v>44952</v>
      </c>
      <c r="J44" s="60" t="s">
        <v>419</v>
      </c>
      <c r="K44" s="61" t="s">
        <v>420</v>
      </c>
      <c r="L44" s="26"/>
      <c r="M44" s="26"/>
      <c r="R44" s="32">
        <f t="shared" si="0"/>
        <v>2</v>
      </c>
      <c r="S44" s="32">
        <f t="shared" si="1"/>
        <v>8</v>
      </c>
      <c r="T44" s="32">
        <f t="shared" si="2"/>
        <v>1</v>
      </c>
    </row>
    <row r="45" spans="1:20" s="25" customFormat="1" ht="52.5" x14ac:dyDescent="0.15">
      <c r="A45" s="49" t="str">
        <f ca="1">IF(B45&lt;&gt;"",表紙!$AB$1&amp;"-"&amp;"結合-"&amp;TEXT($S$1,"00")&amp;"-"&amp;TEXT(R45,"00")&amp;"-"&amp;TEXT(S45,"00")&amp;"-"&amp;TEXT(T45,"０00"),"")</f>
        <v>精度変換-結合-01-02-08-002</v>
      </c>
      <c r="B45" s="26" t="s">
        <v>50</v>
      </c>
      <c r="C45" s="26" t="s">
        <v>66</v>
      </c>
      <c r="D45" s="26" t="s">
        <v>65</v>
      </c>
      <c r="E45" s="41" t="s">
        <v>45</v>
      </c>
      <c r="F45" s="41"/>
      <c r="G45" s="86" t="s">
        <v>255</v>
      </c>
      <c r="H45" s="86" t="s">
        <v>218</v>
      </c>
      <c r="I45" s="59">
        <v>44952</v>
      </c>
      <c r="J45" s="60" t="s">
        <v>419</v>
      </c>
      <c r="K45" s="61" t="s">
        <v>420</v>
      </c>
      <c r="L45" s="26"/>
      <c r="M45" s="26"/>
      <c r="R45" s="32">
        <f t="shared" si="0"/>
        <v>2</v>
      </c>
      <c r="S45" s="32">
        <f t="shared" si="1"/>
        <v>8</v>
      </c>
      <c r="T45" s="32">
        <f t="shared" si="2"/>
        <v>2</v>
      </c>
    </row>
    <row r="46" spans="1:20" s="25" customFormat="1" ht="52.5" x14ac:dyDescent="0.15">
      <c r="A46" s="49" t="str">
        <f ca="1">IF(B46&lt;&gt;"",表紙!$AB$1&amp;"-"&amp;"結合-"&amp;TEXT($S$1,"00")&amp;"-"&amp;TEXT(R46,"00")&amp;"-"&amp;TEXT(S46,"00")&amp;"-"&amp;TEXT(T46,"０00"),"")</f>
        <v>精度変換-結合-01-02-09-001</v>
      </c>
      <c r="B46" s="26" t="s">
        <v>50</v>
      </c>
      <c r="C46" s="26" t="s">
        <v>79</v>
      </c>
      <c r="D46" s="26" t="s">
        <v>123</v>
      </c>
      <c r="E46" s="41" t="s">
        <v>45</v>
      </c>
      <c r="F46" s="41"/>
      <c r="G46" s="86" t="s">
        <v>225</v>
      </c>
      <c r="H46" s="86" t="s">
        <v>226</v>
      </c>
      <c r="I46" s="59">
        <v>44952</v>
      </c>
      <c r="J46" s="60" t="s">
        <v>419</v>
      </c>
      <c r="K46" s="61" t="s">
        <v>420</v>
      </c>
      <c r="L46" s="26"/>
      <c r="M46" s="26"/>
      <c r="R46" s="32">
        <f t="shared" si="0"/>
        <v>2</v>
      </c>
      <c r="S46" s="32">
        <f t="shared" si="1"/>
        <v>9</v>
      </c>
      <c r="T46" s="32">
        <f t="shared" si="2"/>
        <v>1</v>
      </c>
    </row>
    <row r="47" spans="1:20" s="25" customFormat="1" ht="63" x14ac:dyDescent="0.15">
      <c r="A47" s="49" t="str">
        <f ca="1">IF(B47&lt;&gt;"",表紙!$AB$1&amp;"-"&amp;"結合-"&amp;TEXT($S$1,"00")&amp;"-"&amp;TEXT(R47,"00")&amp;"-"&amp;TEXT(S47,"00")&amp;"-"&amp;TEXT(T47,"０00"),"")</f>
        <v>精度変換-結合-01-02-09-002</v>
      </c>
      <c r="B47" s="26" t="s">
        <v>50</v>
      </c>
      <c r="C47" s="26" t="s">
        <v>79</v>
      </c>
      <c r="D47" s="26" t="s">
        <v>124</v>
      </c>
      <c r="E47" s="41" t="s">
        <v>45</v>
      </c>
      <c r="F47" s="41"/>
      <c r="G47" s="86" t="s">
        <v>227</v>
      </c>
      <c r="H47" s="86" t="s">
        <v>228</v>
      </c>
      <c r="I47" s="59">
        <v>44952</v>
      </c>
      <c r="J47" s="60" t="s">
        <v>419</v>
      </c>
      <c r="K47" s="61" t="s">
        <v>420</v>
      </c>
      <c r="L47" s="26"/>
      <c r="M47" s="26"/>
      <c r="R47" s="32">
        <f t="shared" si="0"/>
        <v>2</v>
      </c>
      <c r="S47" s="32">
        <f t="shared" si="1"/>
        <v>9</v>
      </c>
      <c r="T47" s="32">
        <f t="shared" si="2"/>
        <v>2</v>
      </c>
    </row>
    <row r="48" spans="1:20" s="25" customFormat="1" ht="52.5" x14ac:dyDescent="0.15">
      <c r="A48" s="49" t="str">
        <f ca="1">IF(B48&lt;&gt;"",表紙!$AB$1&amp;"-"&amp;"結合-"&amp;TEXT($S$1,"00")&amp;"-"&amp;TEXT(R48,"00")&amp;"-"&amp;TEXT(S48,"00")&amp;"-"&amp;TEXT(T48,"０00"),"")</f>
        <v>精度変換-結合-01-02-09-003</v>
      </c>
      <c r="B48" s="26" t="s">
        <v>50</v>
      </c>
      <c r="C48" s="26" t="s">
        <v>79</v>
      </c>
      <c r="D48" s="26" t="s">
        <v>125</v>
      </c>
      <c r="E48" s="41" t="s">
        <v>45</v>
      </c>
      <c r="F48" s="41"/>
      <c r="G48" s="86" t="s">
        <v>256</v>
      </c>
      <c r="H48" s="86" t="s">
        <v>257</v>
      </c>
      <c r="I48" s="59">
        <v>44952</v>
      </c>
      <c r="J48" s="60" t="s">
        <v>419</v>
      </c>
      <c r="K48" s="61" t="s">
        <v>420</v>
      </c>
      <c r="L48" s="26"/>
      <c r="M48" s="26"/>
      <c r="R48" s="32">
        <f t="shared" si="0"/>
        <v>2</v>
      </c>
      <c r="S48" s="32">
        <f t="shared" si="1"/>
        <v>9</v>
      </c>
      <c r="T48" s="32">
        <f t="shared" si="2"/>
        <v>3</v>
      </c>
    </row>
    <row r="49" spans="1:20" s="25" customFormat="1" ht="52.5" x14ac:dyDescent="0.15">
      <c r="A49" s="49" t="str">
        <f ca="1">IF(B49&lt;&gt;"",表紙!$AB$1&amp;"-"&amp;"結合-"&amp;TEXT($S$1,"00")&amp;"-"&amp;TEXT(R49,"00")&amp;"-"&amp;TEXT(S49,"00")&amp;"-"&amp;TEXT(T49,"０00"),"")</f>
        <v>精度変換-結合-01-02-09-004</v>
      </c>
      <c r="B49" s="26" t="s">
        <v>50</v>
      </c>
      <c r="C49" s="26" t="s">
        <v>79</v>
      </c>
      <c r="D49" s="26" t="s">
        <v>126</v>
      </c>
      <c r="E49" s="41" t="s">
        <v>45</v>
      </c>
      <c r="F49" s="41"/>
      <c r="G49" s="86" t="s">
        <v>258</v>
      </c>
      <c r="H49" s="86" t="s">
        <v>259</v>
      </c>
      <c r="I49" s="59">
        <v>44952</v>
      </c>
      <c r="J49" s="60" t="s">
        <v>419</v>
      </c>
      <c r="K49" s="61" t="s">
        <v>420</v>
      </c>
      <c r="L49" s="26"/>
      <c r="M49" s="26"/>
      <c r="R49" s="32">
        <f t="shared" si="0"/>
        <v>2</v>
      </c>
      <c r="S49" s="32">
        <f t="shared" si="1"/>
        <v>9</v>
      </c>
      <c r="T49" s="32">
        <f t="shared" si="2"/>
        <v>4</v>
      </c>
    </row>
    <row r="50" spans="1:20" s="25" customFormat="1" ht="52.5" x14ac:dyDescent="0.15">
      <c r="A50" s="49" t="str">
        <f ca="1">IF(B50&lt;&gt;"",表紙!$AB$1&amp;"-"&amp;"結合-"&amp;TEXT($S$1,"00")&amp;"-"&amp;TEXT(R50,"00")&amp;"-"&amp;TEXT(S50,"00")&amp;"-"&amp;TEXT(T50,"０00"),"")</f>
        <v>精度変換-結合-01-02-10-001</v>
      </c>
      <c r="B50" s="26" t="s">
        <v>50</v>
      </c>
      <c r="C50" s="26" t="s">
        <v>67</v>
      </c>
      <c r="D50" s="26" t="s">
        <v>101</v>
      </c>
      <c r="E50" s="41" t="s">
        <v>45</v>
      </c>
      <c r="F50" s="41"/>
      <c r="G50" s="86" t="s">
        <v>327</v>
      </c>
      <c r="H50" s="86" t="s">
        <v>218</v>
      </c>
      <c r="I50" s="59">
        <v>44953</v>
      </c>
      <c r="J50" s="60" t="s">
        <v>419</v>
      </c>
      <c r="K50" s="61" t="s">
        <v>420</v>
      </c>
      <c r="L50" s="26"/>
      <c r="M50" s="26"/>
      <c r="R50" s="32">
        <f t="shared" si="0"/>
        <v>2</v>
      </c>
      <c r="S50" s="32">
        <f t="shared" si="1"/>
        <v>10</v>
      </c>
      <c r="T50" s="32">
        <f t="shared" si="2"/>
        <v>1</v>
      </c>
    </row>
    <row r="51" spans="1:20" s="25" customFormat="1" ht="52.5" x14ac:dyDescent="0.15">
      <c r="A51" s="49" t="str">
        <f ca="1">IF(B51&lt;&gt;"",表紙!$AB$1&amp;"-"&amp;"結合-"&amp;TEXT($S$1,"00")&amp;"-"&amp;TEXT(R51,"00")&amp;"-"&amp;TEXT(S51,"00")&amp;"-"&amp;TEXT(T51,"０00"),"")</f>
        <v>精度変換-結合-01-02-10-002</v>
      </c>
      <c r="B51" s="26" t="s">
        <v>50</v>
      </c>
      <c r="C51" s="26" t="s">
        <v>67</v>
      </c>
      <c r="D51" s="26" t="s">
        <v>102</v>
      </c>
      <c r="E51" s="41" t="s">
        <v>45</v>
      </c>
      <c r="F51" s="41"/>
      <c r="G51" s="86" t="s">
        <v>328</v>
      </c>
      <c r="H51" s="86" t="s">
        <v>218</v>
      </c>
      <c r="I51" s="59">
        <v>44953</v>
      </c>
      <c r="J51" s="60" t="s">
        <v>419</v>
      </c>
      <c r="K51" s="61" t="s">
        <v>420</v>
      </c>
      <c r="L51" s="26"/>
      <c r="M51" s="26"/>
      <c r="R51" s="32">
        <f t="shared" si="0"/>
        <v>2</v>
      </c>
      <c r="S51" s="32">
        <f t="shared" si="1"/>
        <v>10</v>
      </c>
      <c r="T51" s="32">
        <f t="shared" si="2"/>
        <v>2</v>
      </c>
    </row>
    <row r="52" spans="1:20" s="25" customFormat="1" ht="52.5" x14ac:dyDescent="0.15">
      <c r="A52" s="49" t="str">
        <f ca="1">IF(B52&lt;&gt;"",表紙!$AB$1&amp;"-"&amp;"結合-"&amp;TEXT($S$1,"00")&amp;"-"&amp;TEXT(R52,"00")&amp;"-"&amp;TEXT(S52,"00")&amp;"-"&amp;TEXT(T52,"０00"),"")</f>
        <v>精度変換-結合-01-02-10-003</v>
      </c>
      <c r="B52" s="26" t="s">
        <v>50</v>
      </c>
      <c r="C52" s="26" t="s">
        <v>67</v>
      </c>
      <c r="D52" s="26" t="s">
        <v>103</v>
      </c>
      <c r="E52" s="41" t="s">
        <v>45</v>
      </c>
      <c r="F52" s="41"/>
      <c r="G52" s="86" t="s">
        <v>329</v>
      </c>
      <c r="H52" s="86" t="s">
        <v>218</v>
      </c>
      <c r="I52" s="59">
        <v>44953</v>
      </c>
      <c r="J52" s="60" t="s">
        <v>419</v>
      </c>
      <c r="K52" s="61" t="s">
        <v>420</v>
      </c>
      <c r="L52" s="26"/>
      <c r="M52" s="26"/>
      <c r="R52" s="32">
        <f t="shared" si="0"/>
        <v>2</v>
      </c>
      <c r="S52" s="32">
        <f t="shared" si="1"/>
        <v>10</v>
      </c>
      <c r="T52" s="32">
        <f t="shared" si="2"/>
        <v>3</v>
      </c>
    </row>
    <row r="53" spans="1:20" s="25" customFormat="1" ht="52.5" x14ac:dyDescent="0.15">
      <c r="A53" s="49" t="str">
        <f ca="1">IF(B53&lt;&gt;"",表紙!$AB$1&amp;"-"&amp;"結合-"&amp;TEXT($S$1,"00")&amp;"-"&amp;TEXT(R53,"00")&amp;"-"&amp;TEXT(S53,"00")&amp;"-"&amp;TEXT(T53,"０00"),"")</f>
        <v>精度変換-結合-01-02-10-004</v>
      </c>
      <c r="B53" s="26" t="s">
        <v>50</v>
      </c>
      <c r="C53" s="26" t="s">
        <v>67</v>
      </c>
      <c r="D53" s="26" t="s">
        <v>104</v>
      </c>
      <c r="E53" s="41" t="s">
        <v>45</v>
      </c>
      <c r="F53" s="41"/>
      <c r="G53" s="86" t="s">
        <v>330</v>
      </c>
      <c r="H53" s="86" t="s">
        <v>218</v>
      </c>
      <c r="I53" s="59">
        <v>44953</v>
      </c>
      <c r="J53" s="60" t="s">
        <v>419</v>
      </c>
      <c r="K53" s="61" t="s">
        <v>420</v>
      </c>
      <c r="L53" s="26"/>
      <c r="M53" s="26"/>
      <c r="R53" s="32">
        <f t="shared" si="0"/>
        <v>2</v>
      </c>
      <c r="S53" s="32">
        <f t="shared" si="1"/>
        <v>10</v>
      </c>
      <c r="T53" s="32">
        <f t="shared" si="2"/>
        <v>4</v>
      </c>
    </row>
    <row r="54" spans="1:20" s="25" customFormat="1" ht="52.5" x14ac:dyDescent="0.15">
      <c r="A54" s="49" t="str">
        <f ca="1">IF(B54&lt;&gt;"",表紙!$AB$1&amp;"-"&amp;"結合-"&amp;TEXT($S$1,"00")&amp;"-"&amp;TEXT(R54,"00")&amp;"-"&amp;TEXT(S54,"00")&amp;"-"&amp;TEXT(T54,"０00"),"")</f>
        <v>精度変換-結合-01-02-10-005</v>
      </c>
      <c r="B54" s="26" t="s">
        <v>50</v>
      </c>
      <c r="C54" s="26" t="s">
        <v>67</v>
      </c>
      <c r="D54" s="26" t="s">
        <v>105</v>
      </c>
      <c r="E54" s="41" t="s">
        <v>45</v>
      </c>
      <c r="F54" s="41"/>
      <c r="G54" s="86" t="s">
        <v>331</v>
      </c>
      <c r="H54" s="86" t="s">
        <v>218</v>
      </c>
      <c r="I54" s="59">
        <v>44953</v>
      </c>
      <c r="J54" s="60" t="s">
        <v>419</v>
      </c>
      <c r="K54" s="61" t="s">
        <v>420</v>
      </c>
      <c r="L54" s="26"/>
      <c r="M54" s="26"/>
      <c r="R54" s="32">
        <f t="shared" si="0"/>
        <v>2</v>
      </c>
      <c r="S54" s="32">
        <f t="shared" si="1"/>
        <v>10</v>
      </c>
      <c r="T54" s="32">
        <f t="shared" si="2"/>
        <v>5</v>
      </c>
    </row>
    <row r="55" spans="1:20" s="25" customFormat="1" ht="52.5" x14ac:dyDescent="0.15">
      <c r="A55" s="49" t="str">
        <f ca="1">IF(B55&lt;&gt;"",表紙!$AB$1&amp;"-"&amp;"結合-"&amp;TEXT($S$1,"00")&amp;"-"&amp;TEXT(R55,"00")&amp;"-"&amp;TEXT(S55,"00")&amp;"-"&amp;TEXT(T55,"０00"),"")</f>
        <v>精度変換-結合-01-02-10-006</v>
      </c>
      <c r="B55" s="26" t="s">
        <v>50</v>
      </c>
      <c r="C55" s="26" t="s">
        <v>67</v>
      </c>
      <c r="D55" s="26" t="s">
        <v>106</v>
      </c>
      <c r="E55" s="41" t="s">
        <v>45</v>
      </c>
      <c r="F55" s="41"/>
      <c r="G55" s="86" t="s">
        <v>332</v>
      </c>
      <c r="H55" s="86" t="s">
        <v>218</v>
      </c>
      <c r="I55" s="59">
        <v>44953</v>
      </c>
      <c r="J55" s="60" t="s">
        <v>419</v>
      </c>
      <c r="K55" s="61" t="s">
        <v>420</v>
      </c>
      <c r="L55" s="26"/>
      <c r="M55" s="26"/>
      <c r="R55" s="32">
        <f t="shared" si="0"/>
        <v>2</v>
      </c>
      <c r="S55" s="32">
        <f t="shared" si="1"/>
        <v>10</v>
      </c>
      <c r="T55" s="32">
        <f t="shared" si="2"/>
        <v>6</v>
      </c>
    </row>
    <row r="56" spans="1:20" s="25" customFormat="1" ht="52.5" x14ac:dyDescent="0.15">
      <c r="A56" s="49" t="str">
        <f ca="1">IF(B56&lt;&gt;"",表紙!$AB$1&amp;"-"&amp;"結合-"&amp;TEXT($S$1,"00")&amp;"-"&amp;TEXT(R56,"00")&amp;"-"&amp;TEXT(S56,"00")&amp;"-"&amp;TEXT(T56,"０00"),"")</f>
        <v>精度変換-結合-01-02-10-007</v>
      </c>
      <c r="B56" s="26" t="s">
        <v>50</v>
      </c>
      <c r="C56" s="26" t="s">
        <v>67</v>
      </c>
      <c r="D56" s="26" t="s">
        <v>107</v>
      </c>
      <c r="E56" s="41" t="s">
        <v>45</v>
      </c>
      <c r="F56" s="41"/>
      <c r="G56" s="86" t="s">
        <v>333</v>
      </c>
      <c r="H56" s="86" t="s">
        <v>218</v>
      </c>
      <c r="I56" s="59">
        <v>44953</v>
      </c>
      <c r="J56" s="60" t="s">
        <v>419</v>
      </c>
      <c r="K56" s="61" t="s">
        <v>420</v>
      </c>
      <c r="L56" s="26"/>
      <c r="M56" s="26"/>
      <c r="R56" s="32">
        <f t="shared" si="0"/>
        <v>2</v>
      </c>
      <c r="S56" s="32">
        <f t="shared" si="1"/>
        <v>10</v>
      </c>
      <c r="T56" s="32">
        <f t="shared" si="2"/>
        <v>7</v>
      </c>
    </row>
    <row r="57" spans="1:20" s="25" customFormat="1" ht="52.5" x14ac:dyDescent="0.15">
      <c r="A57" s="49" t="str">
        <f ca="1">IF(B57&lt;&gt;"",表紙!$AB$1&amp;"-"&amp;"結合-"&amp;TEXT($S$1,"00")&amp;"-"&amp;TEXT(R57,"00")&amp;"-"&amp;TEXT(S57,"00")&amp;"-"&amp;TEXT(T57,"０00"),"")</f>
        <v>精度変換-結合-01-02-10-008</v>
      </c>
      <c r="B57" s="26" t="s">
        <v>50</v>
      </c>
      <c r="C57" s="26" t="s">
        <v>67</v>
      </c>
      <c r="D57" s="26" t="s">
        <v>108</v>
      </c>
      <c r="E57" s="41" t="s">
        <v>45</v>
      </c>
      <c r="F57" s="41"/>
      <c r="G57" s="86" t="s">
        <v>334</v>
      </c>
      <c r="H57" s="86" t="s">
        <v>218</v>
      </c>
      <c r="I57" s="59">
        <v>44953</v>
      </c>
      <c r="J57" s="60" t="s">
        <v>419</v>
      </c>
      <c r="K57" s="61" t="s">
        <v>420</v>
      </c>
      <c r="L57" s="26"/>
      <c r="M57" s="26"/>
      <c r="R57" s="32">
        <f t="shared" si="0"/>
        <v>2</v>
      </c>
      <c r="S57" s="32">
        <f t="shared" si="1"/>
        <v>10</v>
      </c>
      <c r="T57" s="32">
        <f t="shared" si="2"/>
        <v>8</v>
      </c>
    </row>
    <row r="58" spans="1:20" s="25" customFormat="1" ht="42" x14ac:dyDescent="0.15">
      <c r="A58" s="49" t="str">
        <f ca="1">IF(B58&lt;&gt;"",表紙!$AB$1&amp;"-"&amp;"結合-"&amp;TEXT($S$1,"00")&amp;"-"&amp;TEXT(R58,"00")&amp;"-"&amp;TEXT(S58,"00")&amp;"-"&amp;TEXT(T58,"０00"),"")</f>
        <v>精度変換-結合-01-03-01-001</v>
      </c>
      <c r="B58" s="26" t="s">
        <v>68</v>
      </c>
      <c r="C58" s="26" t="s">
        <v>43</v>
      </c>
      <c r="D58" s="26" t="s">
        <v>109</v>
      </c>
      <c r="E58" s="41" t="s">
        <v>44</v>
      </c>
      <c r="F58" s="41"/>
      <c r="G58" s="86" t="s">
        <v>233</v>
      </c>
      <c r="H58" s="86" t="s">
        <v>211</v>
      </c>
      <c r="I58" s="59">
        <v>44953</v>
      </c>
      <c r="J58" s="60" t="s">
        <v>419</v>
      </c>
      <c r="K58" s="61" t="s">
        <v>420</v>
      </c>
      <c r="L58" s="26"/>
      <c r="M58" s="26"/>
      <c r="R58" s="32">
        <f t="shared" si="0"/>
        <v>3</v>
      </c>
      <c r="S58" s="32">
        <f t="shared" si="1"/>
        <v>1</v>
      </c>
      <c r="T58" s="32">
        <f t="shared" si="2"/>
        <v>1</v>
      </c>
    </row>
    <row r="59" spans="1:20" s="25" customFormat="1" ht="42" x14ac:dyDescent="0.15">
      <c r="A59" s="49" t="str">
        <f ca="1">IF(B59&lt;&gt;"",表紙!$AB$1&amp;"-"&amp;"結合-"&amp;TEXT($S$1,"00")&amp;"-"&amp;TEXT(R59,"00")&amp;"-"&amp;TEXT(S59,"00")&amp;"-"&amp;TEXT(T59,"０00"),"")</f>
        <v>精度変換-結合-01-03-01-002</v>
      </c>
      <c r="B59" s="26" t="s">
        <v>68</v>
      </c>
      <c r="C59" s="26" t="s">
        <v>43</v>
      </c>
      <c r="D59" s="26" t="s">
        <v>110</v>
      </c>
      <c r="E59" s="41" t="s">
        <v>44</v>
      </c>
      <c r="F59" s="41"/>
      <c r="G59" s="86" t="s">
        <v>260</v>
      </c>
      <c r="H59" s="86" t="s">
        <v>211</v>
      </c>
      <c r="I59" s="59">
        <v>44953</v>
      </c>
      <c r="J59" s="60" t="s">
        <v>419</v>
      </c>
      <c r="K59" s="61" t="s">
        <v>420</v>
      </c>
      <c r="L59" s="26"/>
      <c r="M59" s="26"/>
      <c r="R59" s="32">
        <f t="shared" si="0"/>
        <v>3</v>
      </c>
      <c r="S59" s="32">
        <f t="shared" si="1"/>
        <v>1</v>
      </c>
      <c r="T59" s="32">
        <f t="shared" si="2"/>
        <v>2</v>
      </c>
    </row>
    <row r="60" spans="1:20" s="25" customFormat="1" ht="52.5" x14ac:dyDescent="0.15">
      <c r="A60" s="49" t="str">
        <f ca="1">IF(B60&lt;&gt;"",表紙!$AB$1&amp;"-"&amp;"結合-"&amp;TEXT($S$1,"00")&amp;"-"&amp;TEXT(R60,"00")&amp;"-"&amp;TEXT(S60,"00")&amp;"-"&amp;TEXT(T60,"０00"),"")</f>
        <v>精度変換-結合-01-03-02-001</v>
      </c>
      <c r="B60" s="26" t="s">
        <v>68</v>
      </c>
      <c r="C60" s="26" t="s">
        <v>53</v>
      </c>
      <c r="D60" s="26" t="s">
        <v>111</v>
      </c>
      <c r="E60" s="41" t="s">
        <v>44</v>
      </c>
      <c r="F60" s="41"/>
      <c r="G60" s="86" t="s">
        <v>261</v>
      </c>
      <c r="H60" s="86" t="s">
        <v>211</v>
      </c>
      <c r="I60" s="59">
        <v>44953</v>
      </c>
      <c r="J60" s="60" t="s">
        <v>419</v>
      </c>
      <c r="K60" s="61" t="s">
        <v>420</v>
      </c>
      <c r="L60" s="26"/>
      <c r="M60" s="26"/>
      <c r="R60" s="32">
        <f t="shared" si="0"/>
        <v>3</v>
      </c>
      <c r="S60" s="32">
        <f t="shared" si="1"/>
        <v>2</v>
      </c>
      <c r="T60" s="32">
        <f t="shared" si="2"/>
        <v>1</v>
      </c>
    </row>
    <row r="61" spans="1:20" s="25" customFormat="1" ht="52.5" x14ac:dyDescent="0.15">
      <c r="A61" s="49" t="str">
        <f ca="1">IF(B61&lt;&gt;"",表紙!$AB$1&amp;"-"&amp;"結合-"&amp;TEXT($S$1,"00")&amp;"-"&amp;TEXT(R61,"00")&amp;"-"&amp;TEXT(S61,"00")&amp;"-"&amp;TEXT(T61,"０00"),"")</f>
        <v>精度変換-結合-01-03-02-002</v>
      </c>
      <c r="B61" s="26" t="s">
        <v>68</v>
      </c>
      <c r="C61" s="26" t="s">
        <v>53</v>
      </c>
      <c r="D61" s="26" t="s">
        <v>112</v>
      </c>
      <c r="E61" s="41" t="s">
        <v>44</v>
      </c>
      <c r="F61" s="41"/>
      <c r="G61" s="86" t="s">
        <v>262</v>
      </c>
      <c r="H61" s="86" t="s">
        <v>211</v>
      </c>
      <c r="I61" s="59">
        <v>44953</v>
      </c>
      <c r="J61" s="60" t="s">
        <v>419</v>
      </c>
      <c r="K61" s="61" t="s">
        <v>420</v>
      </c>
      <c r="L61" s="26"/>
      <c r="M61" s="26"/>
      <c r="R61" s="32">
        <f t="shared" si="0"/>
        <v>3</v>
      </c>
      <c r="S61" s="32">
        <f t="shared" si="1"/>
        <v>2</v>
      </c>
      <c r="T61" s="32">
        <f t="shared" si="2"/>
        <v>2</v>
      </c>
    </row>
    <row r="62" spans="1:20" s="25" customFormat="1" ht="52.5" x14ac:dyDescent="0.15">
      <c r="A62" s="49" t="str">
        <f ca="1">IF(B62&lt;&gt;"",表紙!$AB$1&amp;"-"&amp;"結合-"&amp;TEXT($S$1,"00")&amp;"-"&amp;TEXT(R62,"00")&amp;"-"&amp;TEXT(S62,"00")&amp;"-"&amp;TEXT(T62,"０00"),"")</f>
        <v>精度変換-結合-01-03-02-003</v>
      </c>
      <c r="B62" s="26" t="s">
        <v>68</v>
      </c>
      <c r="C62" s="26" t="s">
        <v>53</v>
      </c>
      <c r="D62" s="26" t="s">
        <v>83</v>
      </c>
      <c r="E62" s="41" t="s">
        <v>44</v>
      </c>
      <c r="F62" s="41"/>
      <c r="G62" s="86" t="s">
        <v>263</v>
      </c>
      <c r="H62" s="86" t="s">
        <v>211</v>
      </c>
      <c r="I62" s="59">
        <v>44953</v>
      </c>
      <c r="J62" s="60" t="s">
        <v>419</v>
      </c>
      <c r="K62" s="61" t="s">
        <v>420</v>
      </c>
      <c r="L62" s="26"/>
      <c r="M62" s="26"/>
      <c r="R62" s="32">
        <f t="shared" si="0"/>
        <v>3</v>
      </c>
      <c r="S62" s="32">
        <f t="shared" si="1"/>
        <v>2</v>
      </c>
      <c r="T62" s="32">
        <f t="shared" si="2"/>
        <v>3</v>
      </c>
    </row>
    <row r="63" spans="1:20" s="25" customFormat="1" ht="52.5" x14ac:dyDescent="0.15">
      <c r="A63" s="49" t="str">
        <f ca="1">IF(B63&lt;&gt;"",表紙!$AB$1&amp;"-"&amp;"結合-"&amp;TEXT($S$1,"00")&amp;"-"&amp;TEXT(R63,"00")&amp;"-"&amp;TEXT(S63,"00")&amp;"-"&amp;TEXT(T63,"０00"),"")</f>
        <v>精度変換-結合-01-03-02-004</v>
      </c>
      <c r="B63" s="26" t="s">
        <v>68</v>
      </c>
      <c r="C63" s="26" t="s">
        <v>53</v>
      </c>
      <c r="D63" s="26" t="s">
        <v>113</v>
      </c>
      <c r="E63" s="41" t="s">
        <v>44</v>
      </c>
      <c r="F63" s="41"/>
      <c r="G63" s="86" t="s">
        <v>264</v>
      </c>
      <c r="H63" s="86" t="s">
        <v>211</v>
      </c>
      <c r="I63" s="59">
        <v>44953</v>
      </c>
      <c r="J63" s="60" t="s">
        <v>419</v>
      </c>
      <c r="K63" s="61" t="s">
        <v>420</v>
      </c>
      <c r="L63" s="26"/>
      <c r="M63" s="26"/>
      <c r="R63" s="32">
        <f t="shared" si="0"/>
        <v>3</v>
      </c>
      <c r="S63" s="32">
        <f t="shared" si="1"/>
        <v>2</v>
      </c>
      <c r="T63" s="32">
        <f t="shared" si="2"/>
        <v>4</v>
      </c>
    </row>
    <row r="64" spans="1:20" s="25" customFormat="1" ht="52.5" x14ac:dyDescent="0.15">
      <c r="A64" s="49" t="str">
        <f ca="1">IF(B64&lt;&gt;"",表紙!$AB$1&amp;"-"&amp;"結合-"&amp;TEXT($S$1,"00")&amp;"-"&amp;TEXT(R64,"00")&amp;"-"&amp;TEXT(S64,"00")&amp;"-"&amp;TEXT(T64,"０00"),"")</f>
        <v>精度変換-結合-01-03-02-005</v>
      </c>
      <c r="B64" s="26" t="s">
        <v>68</v>
      </c>
      <c r="C64" s="26" t="s">
        <v>53</v>
      </c>
      <c r="D64" s="26" t="s">
        <v>86</v>
      </c>
      <c r="E64" s="41" t="s">
        <v>44</v>
      </c>
      <c r="F64" s="41"/>
      <c r="G64" s="86" t="s">
        <v>265</v>
      </c>
      <c r="H64" s="86" t="s">
        <v>211</v>
      </c>
      <c r="I64" s="59">
        <v>44953</v>
      </c>
      <c r="J64" s="60" t="s">
        <v>419</v>
      </c>
      <c r="K64" s="61" t="s">
        <v>420</v>
      </c>
      <c r="L64" s="26"/>
      <c r="M64" s="26"/>
      <c r="R64" s="32">
        <f t="shared" si="0"/>
        <v>3</v>
      </c>
      <c r="S64" s="32">
        <f t="shared" si="1"/>
        <v>2</v>
      </c>
      <c r="T64" s="32">
        <f t="shared" si="2"/>
        <v>5</v>
      </c>
    </row>
    <row r="65" spans="1:20" s="25" customFormat="1" ht="52.5" x14ac:dyDescent="0.15">
      <c r="A65" s="49" t="str">
        <f ca="1">IF(B65&lt;&gt;"",表紙!$AB$1&amp;"-"&amp;"結合-"&amp;TEXT($S$1,"00")&amp;"-"&amp;TEXT(R65,"00")&amp;"-"&amp;TEXT(S65,"00")&amp;"-"&amp;TEXT(T65,"０00"),"")</f>
        <v>精度変換-結合-01-03-02-006</v>
      </c>
      <c r="B65" s="26" t="s">
        <v>68</v>
      </c>
      <c r="C65" s="26" t="s">
        <v>53</v>
      </c>
      <c r="D65" s="26" t="s">
        <v>87</v>
      </c>
      <c r="E65" s="41" t="s">
        <v>44</v>
      </c>
      <c r="F65" s="41"/>
      <c r="G65" s="86" t="s">
        <v>266</v>
      </c>
      <c r="H65" s="86" t="s">
        <v>211</v>
      </c>
      <c r="I65" s="59">
        <v>44953</v>
      </c>
      <c r="J65" s="60" t="s">
        <v>419</v>
      </c>
      <c r="K65" s="61" t="s">
        <v>420</v>
      </c>
      <c r="L65" s="26"/>
      <c r="M65" s="26"/>
      <c r="R65" s="32">
        <f t="shared" si="0"/>
        <v>3</v>
      </c>
      <c r="S65" s="32">
        <f t="shared" si="1"/>
        <v>2</v>
      </c>
      <c r="T65" s="32">
        <f t="shared" si="2"/>
        <v>6</v>
      </c>
    </row>
    <row r="66" spans="1:20" s="25" customFormat="1" ht="52.5" x14ac:dyDescent="0.15">
      <c r="A66" s="49" t="str">
        <f ca="1">IF(B66&lt;&gt;"",表紙!$AB$1&amp;"-"&amp;"結合-"&amp;TEXT($S$1,"00")&amp;"-"&amp;TEXT(R66,"00")&amp;"-"&amp;TEXT(S66,"00")&amp;"-"&amp;TEXT(T66,"０00"),"")</f>
        <v>精度変換-結合-01-03-02-007</v>
      </c>
      <c r="B66" s="26" t="s">
        <v>68</v>
      </c>
      <c r="C66" s="26" t="s">
        <v>53</v>
      </c>
      <c r="D66" s="26" t="s">
        <v>88</v>
      </c>
      <c r="E66" s="41" t="s">
        <v>44</v>
      </c>
      <c r="F66" s="41"/>
      <c r="G66" s="86" t="s">
        <v>267</v>
      </c>
      <c r="H66" s="86" t="s">
        <v>211</v>
      </c>
      <c r="I66" s="59">
        <v>44953</v>
      </c>
      <c r="J66" s="60" t="s">
        <v>419</v>
      </c>
      <c r="K66" s="61" t="s">
        <v>420</v>
      </c>
      <c r="L66" s="26"/>
      <c r="M66" s="26"/>
      <c r="R66" s="32">
        <f t="shared" si="0"/>
        <v>3</v>
      </c>
      <c r="S66" s="32">
        <f t="shared" si="1"/>
        <v>2</v>
      </c>
      <c r="T66" s="32">
        <f t="shared" si="2"/>
        <v>7</v>
      </c>
    </row>
    <row r="67" spans="1:20" s="25" customFormat="1" ht="52.5" x14ac:dyDescent="0.15">
      <c r="A67" s="49" t="str">
        <f ca="1">IF(B67&lt;&gt;"",表紙!$AB$1&amp;"-"&amp;"結合-"&amp;TEXT($S$1,"00")&amp;"-"&amp;TEXT(R67,"00")&amp;"-"&amp;TEXT(S67,"00")&amp;"-"&amp;TEXT(T67,"０00"),"")</f>
        <v>精度変換-結合-01-04-01-001</v>
      </c>
      <c r="B67" s="26" t="s">
        <v>69</v>
      </c>
      <c r="C67" s="26" t="s">
        <v>70</v>
      </c>
      <c r="D67" s="26" t="s">
        <v>120</v>
      </c>
      <c r="E67" s="41" t="s">
        <v>45</v>
      </c>
      <c r="F67" s="41"/>
      <c r="G67" s="86" t="s">
        <v>232</v>
      </c>
      <c r="H67" s="86" t="s">
        <v>401</v>
      </c>
      <c r="I67" s="59">
        <v>44956</v>
      </c>
      <c r="J67" s="60" t="s">
        <v>419</v>
      </c>
      <c r="K67" s="61" t="s">
        <v>420</v>
      </c>
      <c r="L67" s="26"/>
      <c r="M67" s="26"/>
      <c r="R67" s="32">
        <f t="shared" si="0"/>
        <v>4</v>
      </c>
      <c r="S67" s="32">
        <f t="shared" si="1"/>
        <v>1</v>
      </c>
      <c r="T67" s="32">
        <f t="shared" si="2"/>
        <v>1</v>
      </c>
    </row>
    <row r="68" spans="1:20" s="25" customFormat="1" ht="52.5" x14ac:dyDescent="0.15">
      <c r="A68" s="49" t="str">
        <f ca="1">IF(B68&lt;&gt;"",表紙!$AB$1&amp;"-"&amp;"結合-"&amp;TEXT($S$1,"00")&amp;"-"&amp;TEXT(R68,"00")&amp;"-"&amp;TEXT(S68,"00")&amp;"-"&amp;TEXT(T68,"０00"),"")</f>
        <v>精度変換-結合-01-04-01-002</v>
      </c>
      <c r="B68" s="26" t="s">
        <v>69</v>
      </c>
      <c r="C68" s="26" t="s">
        <v>70</v>
      </c>
      <c r="D68" s="26" t="s">
        <v>121</v>
      </c>
      <c r="E68" s="41" t="s">
        <v>45</v>
      </c>
      <c r="F68" s="41"/>
      <c r="G68" s="86" t="s">
        <v>268</v>
      </c>
      <c r="H68" s="86" t="s">
        <v>401</v>
      </c>
      <c r="I68" s="59">
        <v>44956</v>
      </c>
      <c r="J68" s="60" t="s">
        <v>419</v>
      </c>
      <c r="K68" s="61" t="s">
        <v>420</v>
      </c>
      <c r="L68" s="26"/>
      <c r="M68" s="26"/>
      <c r="R68" s="32">
        <f t="shared" si="0"/>
        <v>4</v>
      </c>
      <c r="S68" s="32">
        <f t="shared" si="1"/>
        <v>1</v>
      </c>
      <c r="T68" s="32">
        <f t="shared" si="2"/>
        <v>2</v>
      </c>
    </row>
    <row r="69" spans="1:20" s="25" customFormat="1" ht="52.5" x14ac:dyDescent="0.15">
      <c r="A69" s="49" t="str">
        <f ca="1">IF(B69&lt;&gt;"",表紙!$AB$1&amp;"-"&amp;"結合-"&amp;TEXT($S$1,"00")&amp;"-"&amp;TEXT(R69,"00")&amp;"-"&amp;TEXT(S69,"00")&amp;"-"&amp;TEXT(T69,"０00"),"")</f>
        <v>精度変換-結合-01-04-01-003</v>
      </c>
      <c r="B69" s="26" t="s">
        <v>69</v>
      </c>
      <c r="C69" s="26" t="s">
        <v>70</v>
      </c>
      <c r="D69" s="26" t="s">
        <v>122</v>
      </c>
      <c r="E69" s="41" t="s">
        <v>45</v>
      </c>
      <c r="F69" s="41"/>
      <c r="G69" s="86" t="s">
        <v>269</v>
      </c>
      <c r="H69" s="86" t="s">
        <v>401</v>
      </c>
      <c r="I69" s="59">
        <v>44956</v>
      </c>
      <c r="J69" s="60" t="s">
        <v>419</v>
      </c>
      <c r="K69" s="61" t="s">
        <v>420</v>
      </c>
      <c r="L69" s="26"/>
      <c r="M69" s="26"/>
      <c r="R69" s="32">
        <f t="shared" si="0"/>
        <v>4</v>
      </c>
      <c r="S69" s="32">
        <f t="shared" si="1"/>
        <v>1</v>
      </c>
      <c r="T69" s="32">
        <f t="shared" si="2"/>
        <v>3</v>
      </c>
    </row>
    <row r="70" spans="1:20" s="25" customFormat="1" ht="52.5" x14ac:dyDescent="0.15">
      <c r="A70" s="49" t="str">
        <f ca="1">IF(B70&lt;&gt;"",表紙!$AB$1&amp;"-"&amp;"結合-"&amp;TEXT($S$1,"00")&amp;"-"&amp;TEXT(R70,"00")&amp;"-"&amp;TEXT(S70,"00")&amp;"-"&amp;TEXT(T70,"０00"),"")</f>
        <v>精度変換-結合-01-04-01-004</v>
      </c>
      <c r="B70" s="26" t="s">
        <v>69</v>
      </c>
      <c r="C70" s="26" t="s">
        <v>70</v>
      </c>
      <c r="D70" s="26" t="s">
        <v>412</v>
      </c>
      <c r="E70" s="41" t="s">
        <v>45</v>
      </c>
      <c r="F70" s="41"/>
      <c r="G70" s="86" t="s">
        <v>414</v>
      </c>
      <c r="H70" s="86" t="s">
        <v>401</v>
      </c>
      <c r="I70" s="59">
        <v>44956</v>
      </c>
      <c r="J70" s="60" t="s">
        <v>419</v>
      </c>
      <c r="K70" s="61" t="s">
        <v>420</v>
      </c>
      <c r="L70" s="26"/>
      <c r="M70" s="26"/>
      <c r="R70" s="32">
        <f t="shared" ref="R70" si="9">IF(ROW()&lt;&gt;3,IF(B69&lt;&gt;B70,R69+1,R69),1)</f>
        <v>4</v>
      </c>
      <c r="S70" s="32">
        <f t="shared" ref="S70" si="10">IF(B69=B70,IF(C69&lt;&gt;C70,S69+1,S69),1)</f>
        <v>1</v>
      </c>
      <c r="T70" s="32">
        <f t="shared" ref="T70" si="11">IF(B69&lt;&gt;B70,1,IF(C69=C70,T69+1,1))</f>
        <v>4</v>
      </c>
    </row>
    <row r="71" spans="1:20" s="25" customFormat="1" ht="52.5" x14ac:dyDescent="0.15">
      <c r="A71" s="49" t="str">
        <f ca="1">IF(B71&lt;&gt;"",表紙!$AB$1&amp;"-"&amp;"結合-"&amp;TEXT($S$1,"00")&amp;"-"&amp;TEXT(R71,"00")&amp;"-"&amp;TEXT(S71,"00")&amp;"-"&amp;TEXT(T71,"０00"),"")</f>
        <v>精度変換-結合-01-04-01-005</v>
      </c>
      <c r="B71" s="26" t="s">
        <v>69</v>
      </c>
      <c r="C71" s="26" t="s">
        <v>70</v>
      </c>
      <c r="D71" s="26" t="s">
        <v>413</v>
      </c>
      <c r="E71" s="41" t="s">
        <v>45</v>
      </c>
      <c r="F71" s="41"/>
      <c r="G71" s="86" t="s">
        <v>415</v>
      </c>
      <c r="H71" s="86" t="s">
        <v>401</v>
      </c>
      <c r="I71" s="59">
        <v>44956</v>
      </c>
      <c r="J71" s="60" t="s">
        <v>419</v>
      </c>
      <c r="K71" s="61" t="s">
        <v>420</v>
      </c>
      <c r="L71" s="26"/>
      <c r="M71" s="26"/>
      <c r="R71" s="32">
        <f t="shared" ref="R71" si="12">IF(ROW()&lt;&gt;3,IF(B70&lt;&gt;B71,R70+1,R70),1)</f>
        <v>4</v>
      </c>
      <c r="S71" s="32">
        <f t="shared" ref="S71" si="13">IF(B70=B71,IF(C70&lt;&gt;C71,S70+1,S70),1)</f>
        <v>1</v>
      </c>
      <c r="T71" s="32">
        <f t="shared" ref="T71" si="14">IF(B70&lt;&gt;B71,1,IF(C70=C71,T70+1,1))</f>
        <v>5</v>
      </c>
    </row>
    <row r="72" spans="1:20" s="25" customFormat="1" ht="21" x14ac:dyDescent="0.15">
      <c r="A72" s="49" t="str">
        <f ca="1">IF(B72&lt;&gt;"",表紙!$AB$1&amp;"-"&amp;"結合-"&amp;TEXT($S$1,"00")&amp;"-"&amp;TEXT(R72,"00")&amp;"-"&amp;TEXT(S72,"00")&amp;"-"&amp;TEXT(T72,"０00"),"")</f>
        <v>精度変換-結合-01-04-02-001</v>
      </c>
      <c r="B72" s="26" t="s">
        <v>69</v>
      </c>
      <c r="C72" s="26" t="s">
        <v>71</v>
      </c>
      <c r="D72" s="26"/>
      <c r="E72" s="41"/>
      <c r="F72" s="41"/>
      <c r="G72" s="33"/>
      <c r="H72" s="33"/>
      <c r="I72" s="59"/>
      <c r="J72" s="60"/>
      <c r="K72" s="61"/>
      <c r="L72" s="26"/>
      <c r="M72" s="26" t="str">
        <f ca="1">$A$67</f>
        <v>精度変換-結合-01-04-01-001</v>
      </c>
      <c r="R72" s="32">
        <f>IF(ROW()&lt;&gt;3,IF(B69&lt;&gt;B72,R69+1,R69),1)</f>
        <v>4</v>
      </c>
      <c r="S72" s="32">
        <f>IF(B69=B72,IF(C69&lt;&gt;C72,S69+1,S69),1)</f>
        <v>2</v>
      </c>
      <c r="T72" s="32">
        <f>IF(B69&lt;&gt;B72,1,IF(C69=C72,T69+1,1))</f>
        <v>1</v>
      </c>
    </row>
    <row r="73" spans="1:20" s="25" customFormat="1" ht="52.5" x14ac:dyDescent="0.15">
      <c r="A73" s="49" t="str">
        <f ca="1">IF(B73&lt;&gt;"",表紙!$AB$1&amp;"-"&amp;"結合-"&amp;TEXT($S$1,"00")&amp;"-"&amp;TEXT(R73,"00")&amp;"-"&amp;TEXT(S73,"00")&amp;"-"&amp;TEXT(T73,"０00"),"")</f>
        <v>精度変換-結合-01-04-03-001</v>
      </c>
      <c r="B73" s="26" t="s">
        <v>69</v>
      </c>
      <c r="C73" s="26" t="s">
        <v>72</v>
      </c>
      <c r="D73" s="26" t="s">
        <v>99</v>
      </c>
      <c r="E73" s="41" t="s">
        <v>45</v>
      </c>
      <c r="F73" s="41"/>
      <c r="G73" s="86" t="s">
        <v>342</v>
      </c>
      <c r="H73" s="86" t="s">
        <v>218</v>
      </c>
      <c r="I73" s="59">
        <v>44956</v>
      </c>
      <c r="J73" s="60" t="s">
        <v>419</v>
      </c>
      <c r="K73" s="61" t="s">
        <v>420</v>
      </c>
      <c r="L73" s="26"/>
      <c r="M73" s="26"/>
      <c r="R73" s="32">
        <f t="shared" ref="R73:R83" si="15">IF(ROW()&lt;&gt;3,IF(B72&lt;&gt;B73,R72+1,R72),1)</f>
        <v>4</v>
      </c>
      <c r="S73" s="32">
        <f t="shared" ref="S73:S83" si="16">IF(B72=B73,IF(C72&lt;&gt;C73,S72+1,S72),1)</f>
        <v>3</v>
      </c>
      <c r="T73" s="32">
        <f t="shared" ref="T73:T83" si="17">IF(B72&lt;&gt;B73,1,IF(C72=C73,T72+1,1))</f>
        <v>1</v>
      </c>
    </row>
    <row r="74" spans="1:20" s="25" customFormat="1" ht="52.5" x14ac:dyDescent="0.15">
      <c r="A74" s="49" t="str">
        <f ca="1">IF(B74&lt;&gt;"",表紙!$AB$1&amp;"-"&amp;"結合-"&amp;TEXT($S$1,"00")&amp;"-"&amp;TEXT(R74,"00")&amp;"-"&amp;TEXT(S74,"00")&amp;"-"&amp;TEXT(T74,"０00"),"")</f>
        <v>精度変換-結合-01-04-03-002</v>
      </c>
      <c r="B74" s="26" t="s">
        <v>69</v>
      </c>
      <c r="C74" s="26" t="s">
        <v>72</v>
      </c>
      <c r="D74" s="26" t="s">
        <v>100</v>
      </c>
      <c r="E74" s="41" t="s">
        <v>45</v>
      </c>
      <c r="F74" s="41"/>
      <c r="G74" s="86" t="s">
        <v>341</v>
      </c>
      <c r="H74" s="86" t="s">
        <v>218</v>
      </c>
      <c r="I74" s="59">
        <v>44956</v>
      </c>
      <c r="J74" s="60" t="s">
        <v>419</v>
      </c>
      <c r="K74" s="61" t="s">
        <v>420</v>
      </c>
      <c r="L74" s="26"/>
      <c r="M74" s="26"/>
      <c r="R74" s="32">
        <f t="shared" si="15"/>
        <v>4</v>
      </c>
      <c r="S74" s="32">
        <f t="shared" si="16"/>
        <v>3</v>
      </c>
      <c r="T74" s="32">
        <f t="shared" si="17"/>
        <v>2</v>
      </c>
    </row>
    <row r="75" spans="1:20" s="25" customFormat="1" ht="105" x14ac:dyDescent="0.15">
      <c r="A75" s="49" t="str">
        <f ca="1">IF(B75&lt;&gt;"",表紙!$AB$1&amp;"-"&amp;"結合-"&amp;TEXT($S$1,"00")&amp;"-"&amp;TEXT(R75,"00")&amp;"-"&amp;TEXT(S75,"00")&amp;"-"&amp;TEXT(T75,"０00"),"")</f>
        <v>精度変換-結合-01-04-04-001</v>
      </c>
      <c r="B75" s="26" t="s">
        <v>69</v>
      </c>
      <c r="C75" s="26" t="s">
        <v>73</v>
      </c>
      <c r="D75" s="26" t="s">
        <v>129</v>
      </c>
      <c r="E75" s="41" t="s">
        <v>45</v>
      </c>
      <c r="F75" s="41"/>
      <c r="G75" s="86" t="s">
        <v>416</v>
      </c>
      <c r="H75" s="86" t="s">
        <v>417</v>
      </c>
      <c r="I75" s="59">
        <v>44956</v>
      </c>
      <c r="J75" s="60" t="s">
        <v>419</v>
      </c>
      <c r="K75" s="61" t="s">
        <v>420</v>
      </c>
      <c r="L75" s="26"/>
      <c r="M75" s="26"/>
      <c r="R75" s="32">
        <f t="shared" si="15"/>
        <v>4</v>
      </c>
      <c r="S75" s="32">
        <f t="shared" si="16"/>
        <v>4</v>
      </c>
      <c r="T75" s="32">
        <f t="shared" si="17"/>
        <v>1</v>
      </c>
    </row>
    <row r="76" spans="1:20" s="25" customFormat="1" ht="52.5" x14ac:dyDescent="0.15">
      <c r="A76" s="49" t="str">
        <f ca="1">IF(B76&lt;&gt;"",表紙!$AB$1&amp;"-"&amp;"結合-"&amp;TEXT($S$1,"00")&amp;"-"&amp;TEXT(R76,"00")&amp;"-"&amp;TEXT(S76,"00")&amp;"-"&amp;TEXT(T76,"０00"),"")</f>
        <v>精度変換-結合-01-04-04-002</v>
      </c>
      <c r="B76" s="26" t="s">
        <v>69</v>
      </c>
      <c r="C76" s="26" t="s">
        <v>73</v>
      </c>
      <c r="D76" s="26" t="s">
        <v>134</v>
      </c>
      <c r="E76" s="41" t="s">
        <v>45</v>
      </c>
      <c r="F76" s="41"/>
      <c r="G76" s="86" t="s">
        <v>270</v>
      </c>
      <c r="H76" s="86" t="s">
        <v>271</v>
      </c>
      <c r="I76" s="59">
        <v>44956</v>
      </c>
      <c r="J76" s="60" t="s">
        <v>419</v>
      </c>
      <c r="K76" s="61" t="s">
        <v>420</v>
      </c>
      <c r="L76" s="26"/>
      <c r="M76" s="26"/>
      <c r="R76" s="32">
        <f t="shared" si="15"/>
        <v>4</v>
      </c>
      <c r="S76" s="32">
        <f t="shared" si="16"/>
        <v>4</v>
      </c>
      <c r="T76" s="32">
        <f t="shared" si="17"/>
        <v>2</v>
      </c>
    </row>
    <row r="77" spans="1:20" s="25" customFormat="1" ht="52.5" x14ac:dyDescent="0.15">
      <c r="A77" s="49" t="str">
        <f ca="1">IF(B77&lt;&gt;"",表紙!$AB$1&amp;"-"&amp;"結合-"&amp;TEXT($S$1,"00")&amp;"-"&amp;TEXT(R77,"00")&amp;"-"&amp;TEXT(S77,"00")&amp;"-"&amp;TEXT(T77,"０00"),"")</f>
        <v>精度変換-結合-01-04-05-001</v>
      </c>
      <c r="B77" s="26" t="s">
        <v>69</v>
      </c>
      <c r="C77" s="26" t="s">
        <v>74</v>
      </c>
      <c r="D77" s="26" t="s">
        <v>114</v>
      </c>
      <c r="E77" s="41" t="s">
        <v>45</v>
      </c>
      <c r="F77" s="41"/>
      <c r="G77" s="86" t="s">
        <v>231</v>
      </c>
      <c r="H77" s="86" t="s">
        <v>218</v>
      </c>
      <c r="I77" s="59">
        <v>44956</v>
      </c>
      <c r="J77" s="60" t="s">
        <v>419</v>
      </c>
      <c r="K77" s="61" t="s">
        <v>420</v>
      </c>
      <c r="L77" s="26"/>
      <c r="M77" s="26"/>
      <c r="R77" s="32">
        <f t="shared" si="15"/>
        <v>4</v>
      </c>
      <c r="S77" s="32">
        <f t="shared" si="16"/>
        <v>5</v>
      </c>
      <c r="T77" s="32">
        <f t="shared" si="17"/>
        <v>1</v>
      </c>
    </row>
    <row r="78" spans="1:20" s="25" customFormat="1" ht="52.5" x14ac:dyDescent="0.15">
      <c r="A78" s="49" t="str">
        <f ca="1">IF(B78&lt;&gt;"",表紙!$AB$1&amp;"-"&amp;"結合-"&amp;TEXT($S$1,"00")&amp;"-"&amp;TEXT(R78,"00")&amp;"-"&amp;TEXT(S78,"00")&amp;"-"&amp;TEXT(T78,"０00"),"")</f>
        <v>精度変換-結合-01-04-05-002</v>
      </c>
      <c r="B78" s="26" t="s">
        <v>69</v>
      </c>
      <c r="C78" s="26" t="s">
        <v>74</v>
      </c>
      <c r="D78" s="26" t="s">
        <v>115</v>
      </c>
      <c r="E78" s="41" t="s">
        <v>45</v>
      </c>
      <c r="F78" s="41"/>
      <c r="G78" s="86" t="s">
        <v>272</v>
      </c>
      <c r="H78" s="86" t="s">
        <v>218</v>
      </c>
      <c r="I78" s="59">
        <v>44956</v>
      </c>
      <c r="J78" s="60" t="s">
        <v>419</v>
      </c>
      <c r="K78" s="61" t="s">
        <v>420</v>
      </c>
      <c r="L78" s="26"/>
      <c r="M78" s="26"/>
      <c r="R78" s="32">
        <f t="shared" si="15"/>
        <v>4</v>
      </c>
      <c r="S78" s="32">
        <f t="shared" si="16"/>
        <v>5</v>
      </c>
      <c r="T78" s="32">
        <f t="shared" si="17"/>
        <v>2</v>
      </c>
    </row>
    <row r="79" spans="1:20" s="25" customFormat="1" ht="52.5" x14ac:dyDescent="0.15">
      <c r="A79" s="49" t="str">
        <f ca="1">IF(B79&lt;&gt;"",表紙!$AB$1&amp;"-"&amp;"結合-"&amp;TEXT($S$1,"00")&amp;"-"&amp;TEXT(R79,"00")&amp;"-"&amp;TEXT(S79,"00")&amp;"-"&amp;TEXT(T79,"０00"),"")</f>
        <v>精度変換-結合-01-04-05-003</v>
      </c>
      <c r="B79" s="26" t="s">
        <v>69</v>
      </c>
      <c r="C79" s="26" t="s">
        <v>74</v>
      </c>
      <c r="D79" s="26" t="s">
        <v>116</v>
      </c>
      <c r="E79" s="41" t="s">
        <v>45</v>
      </c>
      <c r="F79" s="41"/>
      <c r="G79" s="86" t="s">
        <v>273</v>
      </c>
      <c r="H79" s="86" t="s">
        <v>218</v>
      </c>
      <c r="I79" s="59">
        <v>44956</v>
      </c>
      <c r="J79" s="60" t="s">
        <v>419</v>
      </c>
      <c r="K79" s="61" t="s">
        <v>420</v>
      </c>
      <c r="L79" s="26"/>
      <c r="M79" s="26"/>
      <c r="R79" s="32">
        <f t="shared" si="15"/>
        <v>4</v>
      </c>
      <c r="S79" s="32">
        <f t="shared" si="16"/>
        <v>5</v>
      </c>
      <c r="T79" s="32">
        <f t="shared" si="17"/>
        <v>3</v>
      </c>
    </row>
    <row r="80" spans="1:20" s="25" customFormat="1" ht="52.5" x14ac:dyDescent="0.15">
      <c r="A80" s="49" t="str">
        <f ca="1">IF(B80&lt;&gt;"",表紙!$AB$1&amp;"-"&amp;"結合-"&amp;TEXT($S$1,"00")&amp;"-"&amp;TEXT(R80,"00")&amp;"-"&amp;TEXT(S80,"00")&amp;"-"&amp;TEXT(T80,"０00"),"")</f>
        <v>精度変換-結合-01-04-05-004</v>
      </c>
      <c r="B80" s="26" t="s">
        <v>69</v>
      </c>
      <c r="C80" s="26" t="s">
        <v>74</v>
      </c>
      <c r="D80" s="26" t="s">
        <v>117</v>
      </c>
      <c r="E80" s="41" t="s">
        <v>45</v>
      </c>
      <c r="F80" s="41"/>
      <c r="G80" s="86" t="s">
        <v>274</v>
      </c>
      <c r="H80" s="86" t="s">
        <v>218</v>
      </c>
      <c r="I80" s="59">
        <v>44956</v>
      </c>
      <c r="J80" s="60" t="s">
        <v>419</v>
      </c>
      <c r="K80" s="61" t="s">
        <v>420</v>
      </c>
      <c r="L80" s="26"/>
      <c r="M80" s="26"/>
      <c r="R80" s="32">
        <f t="shared" si="15"/>
        <v>4</v>
      </c>
      <c r="S80" s="32">
        <f t="shared" si="16"/>
        <v>5</v>
      </c>
      <c r="T80" s="32">
        <f t="shared" si="17"/>
        <v>4</v>
      </c>
    </row>
    <row r="81" spans="1:20" s="25" customFormat="1" ht="52.5" x14ac:dyDescent="0.15">
      <c r="A81" s="49" t="str">
        <f ca="1">IF(B81&lt;&gt;"",表紙!$AB$1&amp;"-"&amp;"結合-"&amp;TEXT($S$1,"00")&amp;"-"&amp;TEXT(R81,"00")&amp;"-"&amp;TEXT(S81,"00")&amp;"-"&amp;TEXT(T81,"０00"),"")</f>
        <v>精度変換-結合-01-04-05-005</v>
      </c>
      <c r="B81" s="26" t="s">
        <v>69</v>
      </c>
      <c r="C81" s="26" t="s">
        <v>74</v>
      </c>
      <c r="D81" s="26" t="s">
        <v>118</v>
      </c>
      <c r="E81" s="41" t="s">
        <v>45</v>
      </c>
      <c r="F81" s="41"/>
      <c r="G81" s="86" t="s">
        <v>275</v>
      </c>
      <c r="H81" s="86" t="s">
        <v>218</v>
      </c>
      <c r="I81" s="59">
        <v>44956</v>
      </c>
      <c r="J81" s="60" t="s">
        <v>419</v>
      </c>
      <c r="K81" s="61" t="s">
        <v>420</v>
      </c>
      <c r="L81" s="26"/>
      <c r="M81" s="26"/>
      <c r="R81" s="32">
        <f t="shared" si="15"/>
        <v>4</v>
      </c>
      <c r="S81" s="32">
        <f t="shared" si="16"/>
        <v>5</v>
      </c>
      <c r="T81" s="32">
        <f t="shared" si="17"/>
        <v>5</v>
      </c>
    </row>
    <row r="82" spans="1:20" s="25" customFormat="1" ht="52.5" x14ac:dyDescent="0.15">
      <c r="A82" s="49" t="str">
        <f ca="1">IF(B82&lt;&gt;"",表紙!$AB$1&amp;"-"&amp;"結合-"&amp;TEXT($S$1,"00")&amp;"-"&amp;TEXT(R82,"00")&amp;"-"&amp;TEXT(S82,"00")&amp;"-"&amp;TEXT(T82,"０00"),"")</f>
        <v>精度変換-結合-01-04-05-006</v>
      </c>
      <c r="B82" s="26" t="s">
        <v>69</v>
      </c>
      <c r="C82" s="26" t="s">
        <v>74</v>
      </c>
      <c r="D82" s="26" t="s">
        <v>119</v>
      </c>
      <c r="E82" s="41" t="s">
        <v>45</v>
      </c>
      <c r="F82" s="41"/>
      <c r="G82" s="86" t="s">
        <v>276</v>
      </c>
      <c r="H82" s="86" t="s">
        <v>218</v>
      </c>
      <c r="I82" s="59">
        <v>44956</v>
      </c>
      <c r="J82" s="60" t="s">
        <v>419</v>
      </c>
      <c r="K82" s="61" t="s">
        <v>420</v>
      </c>
      <c r="L82" s="26"/>
      <c r="M82" s="26"/>
      <c r="R82" s="32">
        <f t="shared" si="15"/>
        <v>4</v>
      </c>
      <c r="S82" s="32">
        <f t="shared" si="16"/>
        <v>5</v>
      </c>
      <c r="T82" s="32">
        <f t="shared" si="17"/>
        <v>6</v>
      </c>
    </row>
    <row r="83" spans="1:20" s="25" customFormat="1" ht="126" x14ac:dyDescent="0.15">
      <c r="A83" s="49" t="str">
        <f ca="1">IF(B83&lt;&gt;"",表紙!$AB$1&amp;"-"&amp;"結合-"&amp;TEXT($S$1,"00")&amp;"-"&amp;TEXT(R83,"00")&amp;"-"&amp;TEXT(S83,"00")&amp;"-"&amp;TEXT(T83,"０00"),"")</f>
        <v>精度変換-結合-01-04-06-001</v>
      </c>
      <c r="B83" s="26" t="s">
        <v>69</v>
      </c>
      <c r="C83" s="26" t="s">
        <v>75</v>
      </c>
      <c r="D83" s="26" t="s">
        <v>98</v>
      </c>
      <c r="E83" s="41" t="s">
        <v>45</v>
      </c>
      <c r="F83" s="41"/>
      <c r="G83" s="86" t="s">
        <v>395</v>
      </c>
      <c r="H83" s="86" t="s">
        <v>343</v>
      </c>
      <c r="I83" s="59">
        <v>44956</v>
      </c>
      <c r="J83" s="60" t="s">
        <v>419</v>
      </c>
      <c r="K83" s="61" t="s">
        <v>420</v>
      </c>
      <c r="L83" s="26"/>
      <c r="M83" s="26"/>
      <c r="R83" s="32">
        <f t="shared" si="15"/>
        <v>4</v>
      </c>
      <c r="S83" s="32">
        <f t="shared" si="16"/>
        <v>6</v>
      </c>
      <c r="T83" s="32">
        <f t="shared" si="17"/>
        <v>1</v>
      </c>
    </row>
    <row r="84" spans="1:20" s="25" customFormat="1" ht="52.5" x14ac:dyDescent="0.15">
      <c r="A84" s="49" t="str">
        <f ca="1">IF(B84&lt;&gt;"",表紙!$AB$1&amp;"-"&amp;"結合-"&amp;TEXT($S$1,"00")&amp;"-"&amp;TEXT(R84,"00")&amp;"-"&amp;TEXT(S84,"00")&amp;"-"&amp;TEXT(T84,"０00"),"")</f>
        <v>精度変換-結合-01-04-07-001</v>
      </c>
      <c r="B84" s="26" t="s">
        <v>69</v>
      </c>
      <c r="C84" s="26" t="s">
        <v>76</v>
      </c>
      <c r="D84" s="26" t="s">
        <v>64</v>
      </c>
      <c r="E84" s="41" t="s">
        <v>45</v>
      </c>
      <c r="F84" s="41"/>
      <c r="G84" s="86" t="s">
        <v>229</v>
      </c>
      <c r="H84" s="86" t="s">
        <v>218</v>
      </c>
      <c r="I84" s="59">
        <v>44956</v>
      </c>
      <c r="J84" s="60" t="s">
        <v>419</v>
      </c>
      <c r="K84" s="61" t="s">
        <v>420</v>
      </c>
      <c r="L84" s="26"/>
      <c r="M84" s="26"/>
      <c r="R84" s="32">
        <f>IF(ROW()&lt;&gt;3,IF(B83&lt;&gt;B84,R83+1,R83),1)</f>
        <v>4</v>
      </c>
      <c r="S84" s="32">
        <f>IF(B83=B84,IF(C83&lt;&gt;C84,S83+1,S83),1)</f>
        <v>7</v>
      </c>
      <c r="T84" s="32">
        <f>IF(B83&lt;&gt;B84,1,IF(C83=C84,T83+1,1))</f>
        <v>1</v>
      </c>
    </row>
    <row r="85" spans="1:20" s="25" customFormat="1" ht="52.5" x14ac:dyDescent="0.15">
      <c r="A85" s="49" t="str">
        <f ca="1">IF(B85&lt;&gt;"",表紙!$AB$1&amp;"-"&amp;"結合-"&amp;TEXT($S$1,"00")&amp;"-"&amp;TEXT(R85,"00")&amp;"-"&amp;TEXT(S85,"00")&amp;"-"&amp;TEXT(T85,"０00"),"")</f>
        <v>精度変換-結合-01-04-07-002</v>
      </c>
      <c r="B85" s="26" t="s">
        <v>69</v>
      </c>
      <c r="C85" s="26" t="s">
        <v>76</v>
      </c>
      <c r="D85" s="26" t="s">
        <v>65</v>
      </c>
      <c r="E85" s="41" t="s">
        <v>45</v>
      </c>
      <c r="F85" s="41"/>
      <c r="G85" s="86" t="s">
        <v>277</v>
      </c>
      <c r="H85" s="86" t="s">
        <v>218</v>
      </c>
      <c r="I85" s="59">
        <v>44956</v>
      </c>
      <c r="J85" s="60" t="s">
        <v>419</v>
      </c>
      <c r="K85" s="61" t="s">
        <v>420</v>
      </c>
      <c r="L85" s="26"/>
      <c r="M85" s="26"/>
      <c r="R85" s="32">
        <f>IF(ROW()&lt;&gt;3,IF(B84&lt;&gt;B85,R84+1,R84),1)</f>
        <v>4</v>
      </c>
      <c r="S85" s="32">
        <f>IF(B84=B85,IF(C84&lt;&gt;C85,S84+1,S84),1)</f>
        <v>7</v>
      </c>
      <c r="T85" s="32">
        <f>IF(B84&lt;&gt;B85,1,IF(C84=C85,T84+1,1))</f>
        <v>2</v>
      </c>
    </row>
    <row r="86" spans="1:20" s="25" customFormat="1" ht="52.5" x14ac:dyDescent="0.15">
      <c r="A86" s="49" t="str">
        <f ca="1">IF(B86&lt;&gt;"",表紙!$AB$1&amp;"-"&amp;"結合-"&amp;TEXT($S$1,"00")&amp;"-"&amp;TEXT(R86,"00")&amp;"-"&amp;TEXT(S86,"00")&amp;"-"&amp;TEXT(T86,"０00"),"")</f>
        <v>精度変換-結合-01-04-08-001</v>
      </c>
      <c r="B86" s="26" t="s">
        <v>69</v>
      </c>
      <c r="C86" s="26" t="s">
        <v>77</v>
      </c>
      <c r="D86" s="26" t="s">
        <v>64</v>
      </c>
      <c r="E86" s="41" t="s">
        <v>45</v>
      </c>
      <c r="F86" s="41"/>
      <c r="G86" s="86" t="s">
        <v>278</v>
      </c>
      <c r="H86" s="86" t="s">
        <v>218</v>
      </c>
      <c r="I86" s="59">
        <v>44957</v>
      </c>
      <c r="J86" s="60" t="s">
        <v>419</v>
      </c>
      <c r="K86" s="61" t="s">
        <v>420</v>
      </c>
      <c r="L86" s="26"/>
      <c r="M86" s="26"/>
      <c r="R86" s="32">
        <f>IF(ROW()&lt;&gt;3,IF(B85&lt;&gt;B86,R85+1,R85),1)</f>
        <v>4</v>
      </c>
      <c r="S86" s="32">
        <f>IF(B85=B86,IF(C85&lt;&gt;C86,S85+1,S85),1)</f>
        <v>8</v>
      </c>
      <c r="T86" s="32">
        <f>IF(B85&lt;&gt;B86,1,IF(C85=C86,T85+1,1))</f>
        <v>1</v>
      </c>
    </row>
    <row r="87" spans="1:20" s="25" customFormat="1" ht="52.5" x14ac:dyDescent="0.15">
      <c r="A87" s="49" t="str">
        <f ca="1">IF(B87&lt;&gt;"",表紙!$AB$1&amp;"-"&amp;"結合-"&amp;TEXT($S$1,"00")&amp;"-"&amp;TEXT(R87,"00")&amp;"-"&amp;TEXT(S87,"00")&amp;"-"&amp;TEXT(T87,"０00"),"")</f>
        <v>精度変換-結合-01-04-08-002</v>
      </c>
      <c r="B87" s="26" t="s">
        <v>69</v>
      </c>
      <c r="C87" s="26" t="s">
        <v>77</v>
      </c>
      <c r="D87" s="26" t="s">
        <v>65</v>
      </c>
      <c r="E87" s="41" t="s">
        <v>45</v>
      </c>
      <c r="F87" s="41"/>
      <c r="G87" s="86" t="s">
        <v>279</v>
      </c>
      <c r="H87" s="86" t="s">
        <v>218</v>
      </c>
      <c r="I87" s="59">
        <v>44957</v>
      </c>
      <c r="J87" s="60" t="s">
        <v>419</v>
      </c>
      <c r="K87" s="61" t="s">
        <v>420</v>
      </c>
      <c r="L87" s="26"/>
      <c r="M87" s="26"/>
      <c r="R87" s="32">
        <f t="shared" ref="R87:R111" si="18">IF(ROW()&lt;&gt;3,IF(B86&lt;&gt;B87,R86+1,R86),1)</f>
        <v>4</v>
      </c>
      <c r="S87" s="32">
        <f t="shared" ref="S87:S111" si="19">IF(B86=B87,IF(C86&lt;&gt;C87,S86+1,S86),1)</f>
        <v>8</v>
      </c>
      <c r="T87" s="32">
        <f t="shared" ref="T87:T111" si="20">IF(B86&lt;&gt;B87,1,IF(C86=C87,T86+1,1))</f>
        <v>2</v>
      </c>
    </row>
    <row r="88" spans="1:20" s="25" customFormat="1" ht="52.5" x14ac:dyDescent="0.15">
      <c r="A88" s="49" t="str">
        <f ca="1">IF(B88&lt;&gt;"",表紙!$AB$1&amp;"-"&amp;"結合-"&amp;TEXT($S$1,"00")&amp;"-"&amp;TEXT(R88,"00")&amp;"-"&amp;TEXT(S88,"00")&amp;"-"&amp;TEXT(T88,"０00"),"")</f>
        <v>精度変換-結合-01-04-09-001</v>
      </c>
      <c r="B88" s="26" t="s">
        <v>69</v>
      </c>
      <c r="C88" s="26" t="s">
        <v>78</v>
      </c>
      <c r="D88" s="26" t="s">
        <v>127</v>
      </c>
      <c r="E88" s="41" t="s">
        <v>45</v>
      </c>
      <c r="F88" s="41"/>
      <c r="G88" s="86" t="s">
        <v>280</v>
      </c>
      <c r="H88" s="86" t="s">
        <v>281</v>
      </c>
      <c r="I88" s="59">
        <v>44957</v>
      </c>
      <c r="J88" s="60" t="s">
        <v>419</v>
      </c>
      <c r="K88" s="61" t="s">
        <v>420</v>
      </c>
      <c r="L88" s="26"/>
      <c r="M88" s="26"/>
      <c r="R88" s="32">
        <f t="shared" si="18"/>
        <v>4</v>
      </c>
      <c r="S88" s="32">
        <f t="shared" si="19"/>
        <v>9</v>
      </c>
      <c r="T88" s="32">
        <f t="shared" si="20"/>
        <v>1</v>
      </c>
    </row>
    <row r="89" spans="1:20" s="25" customFormat="1" ht="105" x14ac:dyDescent="0.15">
      <c r="A89" s="49" t="str">
        <f ca="1">IF(B89&lt;&gt;"",表紙!$AB$1&amp;"-"&amp;"結合-"&amp;TEXT($S$1,"00")&amp;"-"&amp;TEXT(R89,"00")&amp;"-"&amp;TEXT(S89,"00")&amp;"-"&amp;TEXT(T89,"０00"),"")</f>
        <v>精度変換-結合-01-04-09-002</v>
      </c>
      <c r="B89" s="26" t="s">
        <v>69</v>
      </c>
      <c r="C89" s="26" t="s">
        <v>78</v>
      </c>
      <c r="D89" s="26" t="s">
        <v>128</v>
      </c>
      <c r="E89" s="41" t="s">
        <v>45</v>
      </c>
      <c r="F89" s="41"/>
      <c r="G89" s="86" t="s">
        <v>282</v>
      </c>
      <c r="H89" s="86" t="s">
        <v>283</v>
      </c>
      <c r="I89" s="59">
        <v>44957</v>
      </c>
      <c r="J89" s="60" t="s">
        <v>419</v>
      </c>
      <c r="K89" s="61" t="s">
        <v>420</v>
      </c>
      <c r="L89" s="26"/>
      <c r="M89" s="26"/>
      <c r="R89" s="32">
        <f t="shared" si="18"/>
        <v>4</v>
      </c>
      <c r="S89" s="32">
        <f t="shared" si="19"/>
        <v>9</v>
      </c>
      <c r="T89" s="32">
        <f t="shared" si="20"/>
        <v>2</v>
      </c>
    </row>
    <row r="90" spans="1:20" s="25" customFormat="1" ht="52.5" x14ac:dyDescent="0.15">
      <c r="A90" s="49" t="str">
        <f ca="1">IF(B90&lt;&gt;"",表紙!$AB$1&amp;"-"&amp;"結合-"&amp;TEXT($S$1,"00")&amp;"-"&amp;TEXT(R90,"00")&amp;"-"&amp;TEXT(S90,"00")&amp;"-"&amp;TEXT(T90,"０00"),"")</f>
        <v>精度変換-結合-01-04-10-001</v>
      </c>
      <c r="B90" s="26" t="s">
        <v>69</v>
      </c>
      <c r="C90" s="26" t="s">
        <v>80</v>
      </c>
      <c r="D90" s="26" t="s">
        <v>101</v>
      </c>
      <c r="E90" s="41" t="s">
        <v>45</v>
      </c>
      <c r="F90" s="41"/>
      <c r="G90" s="86" t="s">
        <v>344</v>
      </c>
      <c r="H90" s="86" t="s">
        <v>218</v>
      </c>
      <c r="I90" s="59">
        <v>44957</v>
      </c>
      <c r="J90" s="60" t="s">
        <v>419</v>
      </c>
      <c r="K90" s="61" t="s">
        <v>420</v>
      </c>
      <c r="L90" s="26"/>
      <c r="M90" s="26"/>
      <c r="R90" s="32">
        <f t="shared" si="18"/>
        <v>4</v>
      </c>
      <c r="S90" s="32">
        <f t="shared" si="19"/>
        <v>10</v>
      </c>
      <c r="T90" s="32">
        <f t="shared" si="20"/>
        <v>1</v>
      </c>
    </row>
    <row r="91" spans="1:20" s="25" customFormat="1" ht="52.5" x14ac:dyDescent="0.15">
      <c r="A91" s="49" t="str">
        <f ca="1">IF(B91&lt;&gt;"",表紙!$AB$1&amp;"-"&amp;"結合-"&amp;TEXT($S$1,"00")&amp;"-"&amp;TEXT(R91,"00")&amp;"-"&amp;TEXT(S91,"00")&amp;"-"&amp;TEXT(T91,"０00"),"")</f>
        <v>精度変換-結合-01-04-10-002</v>
      </c>
      <c r="B91" s="26" t="s">
        <v>69</v>
      </c>
      <c r="C91" s="26" t="s">
        <v>80</v>
      </c>
      <c r="D91" s="26" t="s">
        <v>102</v>
      </c>
      <c r="E91" s="41" t="s">
        <v>45</v>
      </c>
      <c r="F91" s="41"/>
      <c r="G91" s="86" t="s">
        <v>345</v>
      </c>
      <c r="H91" s="86" t="s">
        <v>218</v>
      </c>
      <c r="I91" s="59">
        <v>44957</v>
      </c>
      <c r="J91" s="60" t="s">
        <v>419</v>
      </c>
      <c r="K91" s="61" t="s">
        <v>420</v>
      </c>
      <c r="L91" s="26"/>
      <c r="M91" s="26"/>
      <c r="R91" s="32">
        <f t="shared" si="18"/>
        <v>4</v>
      </c>
      <c r="S91" s="32">
        <f t="shared" si="19"/>
        <v>10</v>
      </c>
      <c r="T91" s="32">
        <f t="shared" si="20"/>
        <v>2</v>
      </c>
    </row>
    <row r="92" spans="1:20" s="25" customFormat="1" ht="52.5" x14ac:dyDescent="0.15">
      <c r="A92" s="49" t="str">
        <f ca="1">IF(B92&lt;&gt;"",表紙!$AB$1&amp;"-"&amp;"結合-"&amp;TEXT($S$1,"00")&amp;"-"&amp;TEXT(R92,"00")&amp;"-"&amp;TEXT(S92,"00")&amp;"-"&amp;TEXT(T92,"０00"),"")</f>
        <v>精度変換-結合-01-04-10-003</v>
      </c>
      <c r="B92" s="26" t="s">
        <v>69</v>
      </c>
      <c r="C92" s="26" t="s">
        <v>80</v>
      </c>
      <c r="D92" s="26" t="s">
        <v>103</v>
      </c>
      <c r="E92" s="41" t="s">
        <v>45</v>
      </c>
      <c r="F92" s="41"/>
      <c r="G92" s="86" t="s">
        <v>346</v>
      </c>
      <c r="H92" s="86" t="s">
        <v>218</v>
      </c>
      <c r="I92" s="59">
        <v>44957</v>
      </c>
      <c r="J92" s="60" t="s">
        <v>419</v>
      </c>
      <c r="K92" s="61" t="s">
        <v>420</v>
      </c>
      <c r="L92" s="26"/>
      <c r="M92" s="26"/>
      <c r="R92" s="32">
        <f t="shared" si="18"/>
        <v>4</v>
      </c>
      <c r="S92" s="32">
        <f t="shared" si="19"/>
        <v>10</v>
      </c>
      <c r="T92" s="32">
        <f t="shared" si="20"/>
        <v>3</v>
      </c>
    </row>
    <row r="93" spans="1:20" s="25" customFormat="1" ht="52.5" x14ac:dyDescent="0.15">
      <c r="A93" s="49" t="str">
        <f ca="1">IF(B93&lt;&gt;"",表紙!$AB$1&amp;"-"&amp;"結合-"&amp;TEXT($S$1,"00")&amp;"-"&amp;TEXT(R93,"00")&amp;"-"&amp;TEXT(S93,"00")&amp;"-"&amp;TEXT(T93,"０00"),"")</f>
        <v>精度変換-結合-01-04-10-004</v>
      </c>
      <c r="B93" s="26" t="s">
        <v>69</v>
      </c>
      <c r="C93" s="26" t="s">
        <v>80</v>
      </c>
      <c r="D93" s="26" t="s">
        <v>104</v>
      </c>
      <c r="E93" s="41" t="s">
        <v>45</v>
      </c>
      <c r="F93" s="41"/>
      <c r="G93" s="86" t="s">
        <v>347</v>
      </c>
      <c r="H93" s="86" t="s">
        <v>218</v>
      </c>
      <c r="I93" s="59">
        <v>44957</v>
      </c>
      <c r="J93" s="60" t="s">
        <v>419</v>
      </c>
      <c r="K93" s="61" t="s">
        <v>420</v>
      </c>
      <c r="L93" s="26"/>
      <c r="M93" s="26"/>
      <c r="R93" s="32">
        <f t="shared" si="18"/>
        <v>4</v>
      </c>
      <c r="S93" s="32">
        <f t="shared" si="19"/>
        <v>10</v>
      </c>
      <c r="T93" s="32">
        <f t="shared" si="20"/>
        <v>4</v>
      </c>
    </row>
    <row r="94" spans="1:20" s="25" customFormat="1" ht="52.5" x14ac:dyDescent="0.15">
      <c r="A94" s="49" t="str">
        <f ca="1">IF(B94&lt;&gt;"",表紙!$AB$1&amp;"-"&amp;"結合-"&amp;TEXT($S$1,"00")&amp;"-"&amp;TEXT(R94,"00")&amp;"-"&amp;TEXT(S94,"00")&amp;"-"&amp;TEXT(T94,"０00"),"")</f>
        <v>精度変換-結合-01-04-10-005</v>
      </c>
      <c r="B94" s="26" t="s">
        <v>69</v>
      </c>
      <c r="C94" s="26" t="s">
        <v>80</v>
      </c>
      <c r="D94" s="26" t="s">
        <v>105</v>
      </c>
      <c r="E94" s="41" t="s">
        <v>45</v>
      </c>
      <c r="F94" s="41"/>
      <c r="G94" s="86" t="s">
        <v>348</v>
      </c>
      <c r="H94" s="86" t="s">
        <v>218</v>
      </c>
      <c r="I94" s="59">
        <v>44957</v>
      </c>
      <c r="J94" s="60" t="s">
        <v>419</v>
      </c>
      <c r="K94" s="61" t="s">
        <v>420</v>
      </c>
      <c r="L94" s="26"/>
      <c r="M94" s="26"/>
      <c r="R94" s="32">
        <f t="shared" si="18"/>
        <v>4</v>
      </c>
      <c r="S94" s="32">
        <f t="shared" si="19"/>
        <v>10</v>
      </c>
      <c r="T94" s="32">
        <f t="shared" si="20"/>
        <v>5</v>
      </c>
    </row>
    <row r="95" spans="1:20" s="25" customFormat="1" ht="52.5" x14ac:dyDescent="0.15">
      <c r="A95" s="49" t="str">
        <f ca="1">IF(B95&lt;&gt;"",表紙!$AB$1&amp;"-"&amp;"結合-"&amp;TEXT($S$1,"00")&amp;"-"&amp;TEXT(R95,"00")&amp;"-"&amp;TEXT(S95,"00")&amp;"-"&amp;TEXT(T95,"０00"),"")</f>
        <v>精度変換-結合-01-04-10-006</v>
      </c>
      <c r="B95" s="26" t="s">
        <v>69</v>
      </c>
      <c r="C95" s="26" t="s">
        <v>80</v>
      </c>
      <c r="D95" s="26" t="s">
        <v>106</v>
      </c>
      <c r="E95" s="41" t="s">
        <v>45</v>
      </c>
      <c r="F95" s="41"/>
      <c r="G95" s="86" t="s">
        <v>349</v>
      </c>
      <c r="H95" s="86" t="s">
        <v>218</v>
      </c>
      <c r="I95" s="59">
        <v>44957</v>
      </c>
      <c r="J95" s="60" t="s">
        <v>419</v>
      </c>
      <c r="K95" s="61" t="s">
        <v>420</v>
      </c>
      <c r="L95" s="26"/>
      <c r="M95" s="26"/>
      <c r="R95" s="32">
        <f t="shared" si="18"/>
        <v>4</v>
      </c>
      <c r="S95" s="32">
        <f t="shared" si="19"/>
        <v>10</v>
      </c>
      <c r="T95" s="32">
        <f t="shared" si="20"/>
        <v>6</v>
      </c>
    </row>
    <row r="96" spans="1:20" s="25" customFormat="1" ht="52.5" x14ac:dyDescent="0.15">
      <c r="A96" s="49" t="str">
        <f ca="1">IF(B96&lt;&gt;"",表紙!$AB$1&amp;"-"&amp;"結合-"&amp;TEXT($S$1,"00")&amp;"-"&amp;TEXT(R96,"00")&amp;"-"&amp;TEXT(S96,"00")&amp;"-"&amp;TEXT(T96,"０00"),"")</f>
        <v>精度変換-結合-01-04-10-007</v>
      </c>
      <c r="B96" s="26" t="s">
        <v>69</v>
      </c>
      <c r="C96" s="26" t="s">
        <v>80</v>
      </c>
      <c r="D96" s="26" t="s">
        <v>107</v>
      </c>
      <c r="E96" s="41" t="s">
        <v>45</v>
      </c>
      <c r="F96" s="41"/>
      <c r="G96" s="86" t="s">
        <v>350</v>
      </c>
      <c r="H96" s="86" t="s">
        <v>218</v>
      </c>
      <c r="I96" s="59">
        <v>44957</v>
      </c>
      <c r="J96" s="60" t="s">
        <v>419</v>
      </c>
      <c r="K96" s="61" t="s">
        <v>420</v>
      </c>
      <c r="L96" s="26"/>
      <c r="M96" s="26"/>
      <c r="R96" s="32">
        <f t="shared" si="18"/>
        <v>4</v>
      </c>
      <c r="S96" s="32">
        <f t="shared" si="19"/>
        <v>10</v>
      </c>
      <c r="T96" s="32">
        <f t="shared" si="20"/>
        <v>7</v>
      </c>
    </row>
    <row r="97" spans="1:20" s="25" customFormat="1" ht="52.5" x14ac:dyDescent="0.15">
      <c r="A97" s="49" t="str">
        <f ca="1">IF(B97&lt;&gt;"",表紙!$AB$1&amp;"-"&amp;"結合-"&amp;TEXT($S$1,"00")&amp;"-"&amp;TEXT(R97,"00")&amp;"-"&amp;TEXT(S97,"00")&amp;"-"&amp;TEXT(T97,"０00"),"")</f>
        <v>精度変換-結合-01-04-10-008</v>
      </c>
      <c r="B97" s="26" t="s">
        <v>69</v>
      </c>
      <c r="C97" s="26" t="s">
        <v>80</v>
      </c>
      <c r="D97" s="26" t="s">
        <v>108</v>
      </c>
      <c r="E97" s="41" t="s">
        <v>45</v>
      </c>
      <c r="F97" s="41"/>
      <c r="G97" s="86" t="s">
        <v>351</v>
      </c>
      <c r="H97" s="86" t="s">
        <v>396</v>
      </c>
      <c r="I97" s="59">
        <v>44957</v>
      </c>
      <c r="J97" s="60" t="s">
        <v>419</v>
      </c>
      <c r="K97" s="61" t="s">
        <v>420</v>
      </c>
      <c r="L97" s="26"/>
      <c r="M97" s="26"/>
      <c r="R97" s="32">
        <f t="shared" si="18"/>
        <v>4</v>
      </c>
      <c r="S97" s="32">
        <f t="shared" si="19"/>
        <v>10</v>
      </c>
      <c r="T97" s="32">
        <f t="shared" si="20"/>
        <v>8</v>
      </c>
    </row>
    <row r="98" spans="1:20" s="25" customFormat="1" ht="13.5" x14ac:dyDescent="0.15">
      <c r="A98" s="49" t="str">
        <f>IF(B98&lt;&gt;"",表紙!$AB$1&amp;"-"&amp;"結合-"&amp;TEXT($S$1,"00")&amp;"-"&amp;TEXT(R98,"00")&amp;"-"&amp;TEXT(S98,"00")&amp;"-"&amp;TEXT(T98,"０00"),"")</f>
        <v/>
      </c>
      <c r="B98" s="26"/>
      <c r="C98" s="26"/>
      <c r="D98" s="26"/>
      <c r="E98" s="41"/>
      <c r="F98" s="41"/>
      <c r="G98" s="33"/>
      <c r="H98" s="33"/>
      <c r="I98" s="27"/>
      <c r="J98" s="28"/>
      <c r="K98" s="28"/>
      <c r="L98" s="26"/>
      <c r="M98" s="26"/>
      <c r="R98" s="32">
        <f t="shared" si="18"/>
        <v>5</v>
      </c>
      <c r="S98" s="32">
        <f t="shared" si="19"/>
        <v>1</v>
      </c>
      <c r="T98" s="32">
        <f t="shared" si="20"/>
        <v>1</v>
      </c>
    </row>
    <row r="99" spans="1:20" s="25" customFormat="1" ht="13.5" x14ac:dyDescent="0.15">
      <c r="A99" s="49" t="str">
        <f>IF(B99&lt;&gt;"",表紙!$AB$1&amp;"-"&amp;"結合-"&amp;TEXT($S$1,"00")&amp;"-"&amp;TEXT(R99,"00")&amp;"-"&amp;TEXT(S99,"00")&amp;"-"&amp;TEXT(T99,"０00"),"")</f>
        <v/>
      </c>
      <c r="B99" s="26"/>
      <c r="C99" s="26"/>
      <c r="D99" s="26"/>
      <c r="E99" s="41"/>
      <c r="F99" s="41"/>
      <c r="G99" s="33"/>
      <c r="H99" s="33"/>
      <c r="I99" s="27"/>
      <c r="J99" s="28"/>
      <c r="K99" s="28"/>
      <c r="L99" s="26"/>
      <c r="M99" s="26"/>
      <c r="R99" s="32">
        <f t="shared" si="18"/>
        <v>5</v>
      </c>
      <c r="S99" s="32">
        <f t="shared" si="19"/>
        <v>1</v>
      </c>
      <c r="T99" s="32">
        <f t="shared" si="20"/>
        <v>2</v>
      </c>
    </row>
    <row r="100" spans="1:20" s="25" customFormat="1" ht="13.5" x14ac:dyDescent="0.15">
      <c r="A100" s="49" t="str">
        <f>IF(B100&lt;&gt;"",表紙!$AB$1&amp;"-"&amp;"結合-"&amp;TEXT($S$1,"00")&amp;"-"&amp;TEXT(R100,"00")&amp;"-"&amp;TEXT(S100,"00")&amp;"-"&amp;TEXT(T100,"０00"),"")</f>
        <v/>
      </c>
      <c r="B100" s="26"/>
      <c r="C100" s="26"/>
      <c r="D100" s="26"/>
      <c r="E100" s="41"/>
      <c r="F100" s="41"/>
      <c r="G100" s="33"/>
      <c r="H100" s="33"/>
      <c r="I100" s="27"/>
      <c r="J100" s="28"/>
      <c r="K100" s="28"/>
      <c r="L100" s="26"/>
      <c r="M100" s="26"/>
      <c r="R100" s="32">
        <f t="shared" si="18"/>
        <v>5</v>
      </c>
      <c r="S100" s="32">
        <f t="shared" si="19"/>
        <v>1</v>
      </c>
      <c r="T100" s="32">
        <f t="shared" si="20"/>
        <v>3</v>
      </c>
    </row>
    <row r="101" spans="1:20" s="25" customFormat="1" ht="13.5" x14ac:dyDescent="0.15">
      <c r="A101" s="49" t="str">
        <f>IF(B101&lt;&gt;"",表紙!$AB$1&amp;"-"&amp;"結合-"&amp;TEXT($S$1,"00")&amp;"-"&amp;TEXT(R101,"00")&amp;"-"&amp;TEXT(S101,"00")&amp;"-"&amp;TEXT(T101,"０00"),"")</f>
        <v/>
      </c>
      <c r="B101" s="26"/>
      <c r="C101" s="26"/>
      <c r="D101" s="26"/>
      <c r="E101" s="41"/>
      <c r="F101" s="41"/>
      <c r="G101" s="33"/>
      <c r="H101" s="33"/>
      <c r="I101" s="27"/>
      <c r="J101" s="28"/>
      <c r="K101" s="28"/>
      <c r="L101" s="26"/>
      <c r="M101" s="26"/>
      <c r="R101" s="32">
        <f t="shared" si="18"/>
        <v>5</v>
      </c>
      <c r="S101" s="32">
        <f t="shared" si="19"/>
        <v>1</v>
      </c>
      <c r="T101" s="32">
        <f t="shared" si="20"/>
        <v>4</v>
      </c>
    </row>
    <row r="102" spans="1:20" s="25" customFormat="1" ht="13.5" x14ac:dyDescent="0.15">
      <c r="A102" s="49" t="str">
        <f>IF(B102&lt;&gt;"",表紙!$AB$1&amp;"-"&amp;"結合-"&amp;TEXT($S$1,"00")&amp;"-"&amp;TEXT(R102,"00")&amp;"-"&amp;TEXT(S102,"00")&amp;"-"&amp;TEXT(T102,"０00"),"")</f>
        <v/>
      </c>
      <c r="B102" s="26"/>
      <c r="C102" s="26"/>
      <c r="D102" s="26"/>
      <c r="E102" s="41"/>
      <c r="F102" s="41"/>
      <c r="G102" s="33"/>
      <c r="H102" s="33"/>
      <c r="I102" s="27"/>
      <c r="J102" s="28"/>
      <c r="K102" s="28"/>
      <c r="L102" s="26"/>
      <c r="M102" s="26"/>
      <c r="R102" s="32">
        <f t="shared" si="18"/>
        <v>5</v>
      </c>
      <c r="S102" s="32">
        <f t="shared" si="19"/>
        <v>1</v>
      </c>
      <c r="T102" s="32">
        <f t="shared" si="20"/>
        <v>5</v>
      </c>
    </row>
    <row r="103" spans="1:20" s="25" customFormat="1" ht="13.5" x14ac:dyDescent="0.15">
      <c r="A103" s="49" t="str">
        <f>IF(B103&lt;&gt;"",表紙!$AB$1&amp;"-"&amp;"結合-"&amp;TEXT($S$1,"00")&amp;"-"&amp;TEXT(R103,"00")&amp;"-"&amp;TEXT(S103,"00")&amp;"-"&amp;TEXT(T103,"０00"),"")</f>
        <v/>
      </c>
      <c r="B103" s="26"/>
      <c r="C103" s="26"/>
      <c r="D103" s="26"/>
      <c r="E103" s="41"/>
      <c r="F103" s="41"/>
      <c r="G103" s="33"/>
      <c r="H103" s="33"/>
      <c r="I103" s="27"/>
      <c r="J103" s="28"/>
      <c r="K103" s="28"/>
      <c r="L103" s="26"/>
      <c r="M103" s="26"/>
      <c r="R103" s="32">
        <f t="shared" si="18"/>
        <v>5</v>
      </c>
      <c r="S103" s="32">
        <f t="shared" si="19"/>
        <v>1</v>
      </c>
      <c r="T103" s="32">
        <f t="shared" si="20"/>
        <v>6</v>
      </c>
    </row>
    <row r="104" spans="1:20" s="25" customFormat="1" ht="13.5" x14ac:dyDescent="0.15">
      <c r="A104" s="49" t="str">
        <f>IF(B104&lt;&gt;"",表紙!$AB$1&amp;"-"&amp;"結合-"&amp;TEXT($S$1,"00")&amp;"-"&amp;TEXT(R104,"00")&amp;"-"&amp;TEXT(S104,"00")&amp;"-"&amp;TEXT(T104,"０00"),"")</f>
        <v/>
      </c>
      <c r="B104" s="26"/>
      <c r="C104" s="26"/>
      <c r="D104" s="26"/>
      <c r="E104" s="41"/>
      <c r="F104" s="41"/>
      <c r="G104" s="33"/>
      <c r="H104" s="33"/>
      <c r="I104" s="27"/>
      <c r="J104" s="28"/>
      <c r="K104" s="28"/>
      <c r="L104" s="26"/>
      <c r="M104" s="26"/>
      <c r="R104" s="32">
        <f t="shared" si="18"/>
        <v>5</v>
      </c>
      <c r="S104" s="32">
        <f t="shared" si="19"/>
        <v>1</v>
      </c>
      <c r="T104" s="32">
        <f t="shared" si="20"/>
        <v>7</v>
      </c>
    </row>
    <row r="105" spans="1:20" s="25" customFormat="1" ht="13.5" x14ac:dyDescent="0.15">
      <c r="A105" s="49" t="str">
        <f>IF(B105&lt;&gt;"",表紙!$AB$1&amp;"-"&amp;"結合-"&amp;TEXT($S$1,"00")&amp;"-"&amp;TEXT(R105,"00")&amp;"-"&amp;TEXT(S105,"00")&amp;"-"&amp;TEXT(T105,"０00"),"")</f>
        <v/>
      </c>
      <c r="B105" s="26"/>
      <c r="C105" s="26"/>
      <c r="D105" s="26"/>
      <c r="E105" s="41"/>
      <c r="F105" s="41"/>
      <c r="G105" s="33"/>
      <c r="H105" s="33"/>
      <c r="I105" s="27"/>
      <c r="J105" s="28"/>
      <c r="K105" s="28"/>
      <c r="L105" s="26"/>
      <c r="M105" s="26"/>
      <c r="R105" s="32">
        <f t="shared" si="18"/>
        <v>5</v>
      </c>
      <c r="S105" s="32">
        <f t="shared" si="19"/>
        <v>1</v>
      </c>
      <c r="T105" s="32">
        <f t="shared" si="20"/>
        <v>8</v>
      </c>
    </row>
    <row r="106" spans="1:20" s="25" customFormat="1" ht="13.5" x14ac:dyDescent="0.15">
      <c r="A106" s="49" t="str">
        <f>IF(B106&lt;&gt;"",表紙!$AB$1&amp;"-"&amp;"結合-"&amp;TEXT($S$1,"00")&amp;"-"&amp;TEXT(R106,"00")&amp;"-"&amp;TEXT(S106,"00")&amp;"-"&amp;TEXT(T106,"０00"),"")</f>
        <v/>
      </c>
      <c r="B106" s="26"/>
      <c r="C106" s="26"/>
      <c r="D106" s="26"/>
      <c r="E106" s="41"/>
      <c r="F106" s="41"/>
      <c r="G106" s="33"/>
      <c r="H106" s="33"/>
      <c r="I106" s="27"/>
      <c r="J106" s="28"/>
      <c r="K106" s="28"/>
      <c r="L106" s="26"/>
      <c r="M106" s="26"/>
      <c r="R106" s="32">
        <f t="shared" si="18"/>
        <v>5</v>
      </c>
      <c r="S106" s="32">
        <f t="shared" si="19"/>
        <v>1</v>
      </c>
      <c r="T106" s="32">
        <f t="shared" si="20"/>
        <v>9</v>
      </c>
    </row>
    <row r="107" spans="1:20" s="25" customFormat="1" ht="13.5" x14ac:dyDescent="0.15">
      <c r="A107" s="49" t="str">
        <f>IF(B107&lt;&gt;"",表紙!$AB$1&amp;"-"&amp;"結合-"&amp;TEXT($S$1,"00")&amp;"-"&amp;TEXT(R107,"00")&amp;"-"&amp;TEXT(S107,"00")&amp;"-"&amp;TEXT(T107,"０00"),"")</f>
        <v/>
      </c>
      <c r="B107" s="26"/>
      <c r="C107" s="26"/>
      <c r="D107" s="26"/>
      <c r="E107" s="41"/>
      <c r="F107" s="41"/>
      <c r="G107" s="33"/>
      <c r="H107" s="33"/>
      <c r="I107" s="27"/>
      <c r="J107" s="28"/>
      <c r="K107" s="28"/>
      <c r="L107" s="26"/>
      <c r="M107" s="26"/>
      <c r="R107" s="32">
        <f t="shared" si="18"/>
        <v>5</v>
      </c>
      <c r="S107" s="32">
        <f t="shared" si="19"/>
        <v>1</v>
      </c>
      <c r="T107" s="32">
        <f t="shared" si="20"/>
        <v>10</v>
      </c>
    </row>
    <row r="108" spans="1:20" s="25" customFormat="1" ht="13.5" x14ac:dyDescent="0.15">
      <c r="A108" s="49" t="str">
        <f>IF(B108&lt;&gt;"",表紙!$AB$1&amp;"-"&amp;"結合-"&amp;TEXT($S$1,"00")&amp;"-"&amp;TEXT(R108,"00")&amp;"-"&amp;TEXT(S108,"00")&amp;"-"&amp;TEXT(T108,"０00"),"")</f>
        <v/>
      </c>
      <c r="B108" s="26"/>
      <c r="C108" s="26"/>
      <c r="D108" s="26"/>
      <c r="E108" s="41"/>
      <c r="F108" s="41"/>
      <c r="G108" s="33"/>
      <c r="H108" s="33"/>
      <c r="I108" s="27"/>
      <c r="J108" s="28"/>
      <c r="K108" s="28"/>
      <c r="L108" s="26"/>
      <c r="M108" s="26"/>
      <c r="R108" s="32">
        <f t="shared" si="18"/>
        <v>5</v>
      </c>
      <c r="S108" s="32">
        <f t="shared" si="19"/>
        <v>1</v>
      </c>
      <c r="T108" s="32">
        <f t="shared" si="20"/>
        <v>11</v>
      </c>
    </row>
    <row r="109" spans="1:20" s="25" customFormat="1" ht="13.5" x14ac:dyDescent="0.15">
      <c r="A109" s="49" t="str">
        <f>IF(B109&lt;&gt;"",表紙!$AB$1&amp;"-"&amp;"結合-"&amp;TEXT($S$1,"00")&amp;"-"&amp;TEXT(R109,"00")&amp;"-"&amp;TEXT(S109,"00")&amp;"-"&amp;TEXT(T109,"０00"),"")</f>
        <v/>
      </c>
      <c r="B109" s="26"/>
      <c r="C109" s="26"/>
      <c r="D109" s="26"/>
      <c r="E109" s="41"/>
      <c r="F109" s="41"/>
      <c r="G109" s="33"/>
      <c r="H109" s="33"/>
      <c r="I109" s="27"/>
      <c r="J109" s="28"/>
      <c r="K109" s="28"/>
      <c r="L109" s="26"/>
      <c r="M109" s="26"/>
      <c r="R109" s="32">
        <f t="shared" si="18"/>
        <v>5</v>
      </c>
      <c r="S109" s="32">
        <f t="shared" si="19"/>
        <v>1</v>
      </c>
      <c r="T109" s="32">
        <f t="shared" si="20"/>
        <v>12</v>
      </c>
    </row>
    <row r="110" spans="1:20" s="25" customFormat="1" ht="13.5" x14ac:dyDescent="0.15">
      <c r="A110" s="49" t="str">
        <f>IF(B110&lt;&gt;"",表紙!$AB$1&amp;"-"&amp;"結合-"&amp;TEXT($S$1,"00")&amp;"-"&amp;TEXT(R110,"00")&amp;"-"&amp;TEXT(S110,"00")&amp;"-"&amp;TEXT(T110,"０00"),"")</f>
        <v/>
      </c>
      <c r="B110" s="26"/>
      <c r="C110" s="26"/>
      <c r="D110" s="26"/>
      <c r="E110" s="41"/>
      <c r="F110" s="41"/>
      <c r="G110" s="33"/>
      <c r="H110" s="33"/>
      <c r="I110" s="27"/>
      <c r="J110" s="28"/>
      <c r="K110" s="28"/>
      <c r="L110" s="26"/>
      <c r="M110" s="26"/>
      <c r="R110" s="32">
        <f t="shared" si="18"/>
        <v>5</v>
      </c>
      <c r="S110" s="32">
        <f t="shared" si="19"/>
        <v>1</v>
      </c>
      <c r="T110" s="32">
        <f t="shared" si="20"/>
        <v>13</v>
      </c>
    </row>
    <row r="111" spans="1:20" s="25" customFormat="1" ht="13.5" x14ac:dyDescent="0.15">
      <c r="A111" s="49" t="str">
        <f>IF(B111&lt;&gt;"",表紙!$AB$1&amp;"-"&amp;"結合-"&amp;TEXT($S$1,"00")&amp;"-"&amp;TEXT(R111,"00")&amp;"-"&amp;TEXT(S111,"00")&amp;"-"&amp;TEXT(T111,"０00"),"")</f>
        <v/>
      </c>
      <c r="B111" s="26"/>
      <c r="C111" s="26"/>
      <c r="D111" s="26"/>
      <c r="E111" s="41"/>
      <c r="F111" s="41"/>
      <c r="G111" s="33"/>
      <c r="H111" s="33"/>
      <c r="I111" s="27"/>
      <c r="J111" s="28"/>
      <c r="K111" s="28"/>
      <c r="L111" s="26"/>
      <c r="M111" s="26"/>
      <c r="R111" s="32">
        <f t="shared" si="18"/>
        <v>5</v>
      </c>
      <c r="S111" s="32">
        <f t="shared" si="19"/>
        <v>1</v>
      </c>
      <c r="T111" s="32">
        <f t="shared" si="20"/>
        <v>14</v>
      </c>
    </row>
    <row r="114" spans="5:13" x14ac:dyDescent="0.15">
      <c r="I114" s="19"/>
      <c r="J114" s="19"/>
      <c r="K114" s="19"/>
      <c r="L114" s="20"/>
      <c r="M114" s="20"/>
    </row>
    <row r="115" spans="5:13" x14ac:dyDescent="0.15">
      <c r="E115" s="19" t="s">
        <v>35</v>
      </c>
      <c r="F115" s="19">
        <f>COUNTIF($F$3:$F$111,E115)</f>
        <v>0</v>
      </c>
      <c r="I115" s="19"/>
      <c r="J115" s="19"/>
      <c r="K115" s="19"/>
      <c r="L115" s="20"/>
      <c r="M115" s="20"/>
    </row>
    <row r="116" spans="5:13" x14ac:dyDescent="0.15">
      <c r="E116" s="19" t="s">
        <v>36</v>
      </c>
      <c r="F116" s="19">
        <f>COUNTIF($F$3:$F$111,E116)</f>
        <v>0</v>
      </c>
      <c r="I116" s="19"/>
      <c r="J116" s="19"/>
      <c r="K116" s="19"/>
      <c r="L116" s="20"/>
      <c r="M116" s="20"/>
    </row>
    <row r="117" spans="5:13" x14ac:dyDescent="0.15">
      <c r="E117" s="19" t="s">
        <v>37</v>
      </c>
      <c r="F117" s="19">
        <f>COUNTIF($F$3:$F$111,E117)</f>
        <v>0</v>
      </c>
    </row>
  </sheetData>
  <autoFilter ref="A2:M111" xr:uid="{00000000-0001-0000-0300-000000000000}"/>
  <phoneticPr fontId="3"/>
  <conditionalFormatting sqref="R3:T111">
    <cfRule type="expression" dxfId="3" priority="110" stopIfTrue="1">
      <formula>IF(#REF!="○",TRUE,FALSE)</formula>
    </cfRule>
  </conditionalFormatting>
  <conditionalFormatting sqref="E3:E111">
    <cfRule type="expression" dxfId="2" priority="101">
      <formula>$M3&lt;&gt;""</formula>
    </cfRule>
  </conditionalFormatting>
  <conditionalFormatting sqref="A98:M111 A3:H97 L3:M97">
    <cfRule type="expression" dxfId="1" priority="87">
      <formula>$M3&lt;&gt;""</formula>
    </cfRule>
  </conditionalFormatting>
  <conditionalFormatting sqref="I3:K97">
    <cfRule type="expression" dxfId="0" priority="1">
      <formula>$M3&lt;&gt;""</formula>
    </cfRule>
  </conditionalFormatting>
  <dataValidations count="2">
    <dataValidation type="list" allowBlank="1" showInputMessage="1" showErrorMessage="1" sqref="E3:E111" xr:uid="{734A6667-EDD6-4F75-90E2-F23A6D7D2932}">
      <formula1>"正常,準正常,異常"</formula1>
    </dataValidation>
    <dataValidation type="list" allowBlank="1" showInputMessage="1" showErrorMessage="1" sqref="F3:F111" xr:uid="{4AAE7993-4B14-4230-B7C9-7F65F3354B67}">
      <formula1>"A,B,C"</formula1>
    </dataValidation>
  </dataValidations>
  <printOptions horizontalCentered="1"/>
  <pageMargins left="0.39370078740157483" right="0.39370078740157483" top="0.39370078740157483" bottom="0.39370078740157483" header="0" footer="0"/>
  <pageSetup paperSize="9" scale="59" fitToHeight="25" orientation="landscape" r:id="rId1"/>
  <headerFooter alignWithMargins="0"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76D4-9922-49EF-9110-27929F13E9D8}">
  <dimension ref="A1:W37"/>
  <sheetViews>
    <sheetView showGridLines="0" workbookViewId="0"/>
  </sheetViews>
  <sheetFormatPr defaultRowHeight="13.5" x14ac:dyDescent="0.15"/>
  <cols>
    <col min="1" max="1" width="2.625" customWidth="1"/>
    <col min="2" max="2" width="2.75" customWidth="1"/>
    <col min="4" max="4" width="25.125" customWidth="1"/>
    <col min="5" max="10" width="9" customWidth="1"/>
    <col min="23" max="23" width="11.75" customWidth="1"/>
  </cols>
  <sheetData>
    <row r="1" spans="1:23" x14ac:dyDescent="0.15">
      <c r="A1" s="74" t="s">
        <v>135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</row>
    <row r="2" spans="1:23" x14ac:dyDescent="0.15">
      <c r="A2" s="74"/>
      <c r="B2" s="132" t="s">
        <v>174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</row>
    <row r="3" spans="1:23" x14ac:dyDescent="0.15">
      <c r="A3" s="74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</row>
    <row r="4" spans="1:23" x14ac:dyDescent="0.15">
      <c r="A4" s="74"/>
      <c r="B4" s="75" t="s">
        <v>166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</row>
    <row r="5" spans="1:23" x14ac:dyDescent="0.15">
      <c r="A5" s="132"/>
      <c r="B5" s="132"/>
      <c r="C5" s="132" t="s">
        <v>137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</row>
    <row r="6" spans="1:23" x14ac:dyDescent="0.15">
      <c r="A6" s="132"/>
      <c r="B6" s="132"/>
      <c r="C6" s="132" t="s">
        <v>141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</row>
    <row r="7" spans="1:23" x14ac:dyDescent="0.15">
      <c r="A7" s="132"/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</row>
    <row r="8" spans="1:23" x14ac:dyDescent="0.15">
      <c r="A8" s="132"/>
      <c r="B8" s="132"/>
      <c r="C8" s="132" t="s">
        <v>165</v>
      </c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</row>
    <row r="9" spans="1:23" x14ac:dyDescent="0.15">
      <c r="A9" s="132"/>
      <c r="B9" s="132"/>
      <c r="C9" s="133"/>
      <c r="D9" s="133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</row>
    <row r="10" spans="1:23" x14ac:dyDescent="0.15">
      <c r="A10" s="132"/>
      <c r="B10" s="132"/>
      <c r="C10" s="70" t="s">
        <v>42</v>
      </c>
      <c r="D10" s="71" t="s">
        <v>136</v>
      </c>
      <c r="E10" s="71" t="s">
        <v>138</v>
      </c>
      <c r="F10" s="73"/>
      <c r="G10" s="72"/>
      <c r="H10" s="71" t="s">
        <v>139</v>
      </c>
      <c r="I10" s="73"/>
      <c r="J10" s="72"/>
      <c r="K10" s="71" t="s">
        <v>140</v>
      </c>
      <c r="L10" s="73"/>
      <c r="M10" s="72"/>
      <c r="N10" s="93" t="s">
        <v>397</v>
      </c>
      <c r="O10" s="93"/>
      <c r="P10" s="93"/>
      <c r="Q10" s="93"/>
      <c r="R10" s="93"/>
      <c r="S10" s="93"/>
      <c r="T10" s="93"/>
      <c r="U10" s="94"/>
      <c r="V10" s="95" t="s">
        <v>398</v>
      </c>
      <c r="W10" s="134"/>
    </row>
    <row r="11" spans="1:23" ht="27" customHeight="1" x14ac:dyDescent="0.15">
      <c r="A11" s="132"/>
      <c r="B11" s="132"/>
      <c r="C11" s="135">
        <v>1</v>
      </c>
      <c r="D11" s="136" t="s">
        <v>89</v>
      </c>
      <c r="E11" s="137" t="s">
        <v>164</v>
      </c>
      <c r="F11" s="138"/>
      <c r="G11" s="139"/>
      <c r="H11" s="140">
        <v>11</v>
      </c>
      <c r="I11" s="141"/>
      <c r="J11" s="142"/>
      <c r="K11" s="140">
        <v>11</v>
      </c>
      <c r="L11" s="138"/>
      <c r="M11" s="139"/>
      <c r="N11" s="143" t="s">
        <v>377</v>
      </c>
      <c r="O11" s="144"/>
      <c r="P11" s="144"/>
      <c r="Q11" s="144"/>
      <c r="R11" s="144"/>
      <c r="S11" s="144"/>
      <c r="T11" s="144"/>
      <c r="U11" s="145"/>
      <c r="V11" s="140">
        <v>8</v>
      </c>
      <c r="W11" s="146"/>
    </row>
    <row r="12" spans="1:23" ht="27" x14ac:dyDescent="0.15">
      <c r="A12" s="132"/>
      <c r="B12" s="132"/>
      <c r="C12" s="135">
        <v>2</v>
      </c>
      <c r="D12" s="136" t="s">
        <v>90</v>
      </c>
      <c r="E12" s="137" t="s">
        <v>164</v>
      </c>
      <c r="F12" s="138"/>
      <c r="G12" s="139"/>
      <c r="H12" s="140">
        <v>9</v>
      </c>
      <c r="I12" s="138"/>
      <c r="J12" s="139"/>
      <c r="K12" s="140">
        <v>11</v>
      </c>
      <c r="L12" s="138"/>
      <c r="M12" s="139"/>
      <c r="N12" s="147" t="s">
        <v>284</v>
      </c>
      <c r="O12" s="138"/>
      <c r="P12" s="138"/>
      <c r="Q12" s="138"/>
      <c r="R12" s="138"/>
      <c r="S12" s="138"/>
      <c r="T12" s="138"/>
      <c r="U12" s="139"/>
      <c r="V12" s="140">
        <v>2</v>
      </c>
      <c r="W12" s="146"/>
    </row>
    <row r="13" spans="1:23" ht="27" x14ac:dyDescent="0.15">
      <c r="A13" s="132"/>
      <c r="B13" s="132"/>
      <c r="C13" s="135">
        <v>3</v>
      </c>
      <c r="D13" s="136" t="s">
        <v>91</v>
      </c>
      <c r="E13" s="137" t="s">
        <v>164</v>
      </c>
      <c r="F13" s="138"/>
      <c r="G13" s="139"/>
      <c r="H13" s="140">
        <v>10</v>
      </c>
      <c r="I13" s="138"/>
      <c r="J13" s="139"/>
      <c r="K13" s="140">
        <v>11</v>
      </c>
      <c r="L13" s="138"/>
      <c r="M13" s="139"/>
      <c r="N13" s="147" t="s">
        <v>285</v>
      </c>
      <c r="O13" s="138"/>
      <c r="P13" s="138"/>
      <c r="Q13" s="138"/>
      <c r="R13" s="138"/>
      <c r="S13" s="138"/>
      <c r="T13" s="138"/>
      <c r="U13" s="139"/>
      <c r="V13" s="140">
        <v>2</v>
      </c>
      <c r="W13" s="146"/>
    </row>
    <row r="14" spans="1:23" ht="27" x14ac:dyDescent="0.15">
      <c r="A14" s="132"/>
      <c r="B14" s="132"/>
      <c r="C14" s="135">
        <v>4</v>
      </c>
      <c r="D14" s="136" t="s">
        <v>92</v>
      </c>
      <c r="E14" s="137" t="s">
        <v>164</v>
      </c>
      <c r="F14" s="138"/>
      <c r="G14" s="139"/>
      <c r="H14" s="140">
        <v>11</v>
      </c>
      <c r="I14" s="138"/>
      <c r="J14" s="139"/>
      <c r="K14" s="140">
        <v>9</v>
      </c>
      <c r="L14" s="138"/>
      <c r="M14" s="139"/>
      <c r="N14" s="147" t="s">
        <v>286</v>
      </c>
      <c r="O14" s="138"/>
      <c r="P14" s="138"/>
      <c r="Q14" s="138"/>
      <c r="R14" s="138"/>
      <c r="S14" s="138"/>
      <c r="T14" s="138"/>
      <c r="U14" s="139"/>
      <c r="V14" s="140">
        <v>4</v>
      </c>
      <c r="W14" s="146"/>
    </row>
    <row r="15" spans="1:23" ht="27" x14ac:dyDescent="0.15">
      <c r="A15" s="132"/>
      <c r="B15" s="132"/>
      <c r="C15" s="135">
        <v>5</v>
      </c>
      <c r="D15" s="136" t="s">
        <v>93</v>
      </c>
      <c r="E15" s="137" t="s">
        <v>164</v>
      </c>
      <c r="F15" s="138"/>
      <c r="G15" s="139"/>
      <c r="H15" s="140">
        <v>9</v>
      </c>
      <c r="I15" s="138"/>
      <c r="J15" s="139"/>
      <c r="K15" s="140">
        <v>9</v>
      </c>
      <c r="L15" s="138"/>
      <c r="M15" s="139"/>
      <c r="N15" s="147" t="s">
        <v>287</v>
      </c>
      <c r="O15" s="138"/>
      <c r="P15" s="138"/>
      <c r="Q15" s="138"/>
      <c r="R15" s="138"/>
      <c r="S15" s="138"/>
      <c r="T15" s="138"/>
      <c r="U15" s="139"/>
      <c r="V15" s="140">
        <v>1</v>
      </c>
      <c r="W15" s="146"/>
    </row>
    <row r="16" spans="1:23" ht="27" x14ac:dyDescent="0.15">
      <c r="A16" s="132"/>
      <c r="B16" s="132"/>
      <c r="C16" s="135">
        <v>6</v>
      </c>
      <c r="D16" s="136" t="s">
        <v>94</v>
      </c>
      <c r="E16" s="137" t="s">
        <v>164</v>
      </c>
      <c r="F16" s="138"/>
      <c r="G16" s="139"/>
      <c r="H16" s="140">
        <v>10</v>
      </c>
      <c r="I16" s="138"/>
      <c r="J16" s="139"/>
      <c r="K16" s="140">
        <v>9</v>
      </c>
      <c r="L16" s="138"/>
      <c r="M16" s="139"/>
      <c r="N16" s="147" t="s">
        <v>288</v>
      </c>
      <c r="O16" s="138"/>
      <c r="P16" s="138"/>
      <c r="Q16" s="138"/>
      <c r="R16" s="138"/>
      <c r="S16" s="138"/>
      <c r="T16" s="138"/>
      <c r="U16" s="139"/>
      <c r="V16" s="140">
        <v>1</v>
      </c>
      <c r="W16" s="146"/>
    </row>
    <row r="17" spans="1:23" ht="27" x14ac:dyDescent="0.15">
      <c r="A17" s="132"/>
      <c r="B17" s="132"/>
      <c r="C17" s="135">
        <v>7</v>
      </c>
      <c r="D17" s="136" t="s">
        <v>95</v>
      </c>
      <c r="E17" s="137" t="s">
        <v>164</v>
      </c>
      <c r="F17" s="138"/>
      <c r="G17" s="139"/>
      <c r="H17" s="140">
        <v>11</v>
      </c>
      <c r="I17" s="138"/>
      <c r="J17" s="139"/>
      <c r="K17" s="140">
        <v>10</v>
      </c>
      <c r="L17" s="138"/>
      <c r="M17" s="139"/>
      <c r="N17" s="147" t="s">
        <v>289</v>
      </c>
      <c r="O17" s="138"/>
      <c r="P17" s="138"/>
      <c r="Q17" s="138"/>
      <c r="R17" s="138"/>
      <c r="S17" s="138"/>
      <c r="T17" s="138"/>
      <c r="U17" s="139"/>
      <c r="V17" s="140">
        <v>4</v>
      </c>
      <c r="W17" s="146"/>
    </row>
    <row r="18" spans="1:23" ht="27" x14ac:dyDescent="0.15">
      <c r="A18" s="132"/>
      <c r="B18" s="132"/>
      <c r="C18" s="135">
        <v>8</v>
      </c>
      <c r="D18" s="136" t="s">
        <v>96</v>
      </c>
      <c r="E18" s="137" t="s">
        <v>164</v>
      </c>
      <c r="F18" s="138"/>
      <c r="G18" s="139"/>
      <c r="H18" s="140">
        <v>9</v>
      </c>
      <c r="I18" s="138"/>
      <c r="J18" s="139"/>
      <c r="K18" s="140">
        <v>10</v>
      </c>
      <c r="L18" s="138"/>
      <c r="M18" s="139"/>
      <c r="N18" s="147" t="s">
        <v>290</v>
      </c>
      <c r="O18" s="138"/>
      <c r="P18" s="138"/>
      <c r="Q18" s="138"/>
      <c r="R18" s="138"/>
      <c r="S18" s="138"/>
      <c r="T18" s="138"/>
      <c r="U18" s="139"/>
      <c r="V18" s="140">
        <v>1</v>
      </c>
      <c r="W18" s="146"/>
    </row>
    <row r="19" spans="1:23" ht="27" x14ac:dyDescent="0.15">
      <c r="A19" s="132"/>
      <c r="B19" s="132"/>
      <c r="C19" s="135">
        <v>9</v>
      </c>
      <c r="D19" s="136" t="s">
        <v>97</v>
      </c>
      <c r="E19" s="137" t="s">
        <v>164</v>
      </c>
      <c r="F19" s="138"/>
      <c r="G19" s="139"/>
      <c r="H19" s="140">
        <v>10</v>
      </c>
      <c r="I19" s="138"/>
      <c r="J19" s="139"/>
      <c r="K19" s="140">
        <v>10</v>
      </c>
      <c r="L19" s="138"/>
      <c r="M19" s="139"/>
      <c r="N19" s="147" t="s">
        <v>291</v>
      </c>
      <c r="O19" s="138"/>
      <c r="P19" s="138"/>
      <c r="Q19" s="138"/>
      <c r="R19" s="138"/>
      <c r="S19" s="138"/>
      <c r="T19" s="138"/>
      <c r="U19" s="139"/>
      <c r="V19" s="140">
        <v>1</v>
      </c>
      <c r="W19" s="146"/>
    </row>
    <row r="20" spans="1:23" ht="231" customHeight="1" x14ac:dyDescent="0.15">
      <c r="A20" s="132"/>
      <c r="B20" s="132"/>
      <c r="C20" s="135">
        <v>10</v>
      </c>
      <c r="D20" s="136" t="s">
        <v>402</v>
      </c>
      <c r="E20" s="137" t="s">
        <v>164</v>
      </c>
      <c r="F20" s="138"/>
      <c r="G20" s="139"/>
      <c r="H20" s="140">
        <v>12</v>
      </c>
      <c r="I20" s="138"/>
      <c r="J20" s="139"/>
      <c r="K20" s="140">
        <v>12</v>
      </c>
      <c r="L20" s="138"/>
      <c r="M20" s="139"/>
      <c r="N20" s="148" t="s">
        <v>410</v>
      </c>
      <c r="O20" s="149"/>
      <c r="P20" s="149"/>
      <c r="Q20" s="149"/>
      <c r="R20" s="149"/>
      <c r="S20" s="149"/>
      <c r="T20" s="149"/>
      <c r="U20" s="150"/>
      <c r="V20" s="140">
        <v>64</v>
      </c>
      <c r="W20" s="146"/>
    </row>
    <row r="21" spans="1:23" ht="27" x14ac:dyDescent="0.15">
      <c r="A21" s="132"/>
      <c r="B21" s="132"/>
      <c r="C21" s="135">
        <v>11</v>
      </c>
      <c r="D21" s="136" t="s">
        <v>403</v>
      </c>
      <c r="E21" s="137" t="s">
        <v>164</v>
      </c>
      <c r="F21" s="138"/>
      <c r="G21" s="139"/>
      <c r="H21" s="140">
        <v>8</v>
      </c>
      <c r="I21" s="138"/>
      <c r="J21" s="139"/>
      <c r="K21" s="140">
        <v>8</v>
      </c>
      <c r="L21" s="138"/>
      <c r="M21" s="139"/>
      <c r="N21" s="147" t="s">
        <v>409</v>
      </c>
      <c r="O21" s="138"/>
      <c r="P21" s="138"/>
      <c r="Q21" s="138"/>
      <c r="R21" s="138"/>
      <c r="S21" s="138"/>
      <c r="T21" s="138"/>
      <c r="U21" s="139"/>
      <c r="V21" s="140">
        <v>1</v>
      </c>
      <c r="W21" s="146"/>
    </row>
    <row r="22" spans="1:23" x14ac:dyDescent="0.15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</row>
    <row r="23" spans="1:23" x14ac:dyDescent="0.15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</row>
    <row r="24" spans="1:23" x14ac:dyDescent="0.15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</row>
    <row r="25" spans="1:23" x14ac:dyDescent="0.15">
      <c r="A25" s="74"/>
      <c r="B25" s="75" t="s">
        <v>167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</row>
    <row r="26" spans="1:23" x14ac:dyDescent="0.15">
      <c r="A26" s="132"/>
      <c r="B26" s="132"/>
      <c r="C26" s="132" t="s">
        <v>168</v>
      </c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</row>
    <row r="27" spans="1:23" x14ac:dyDescent="0.15">
      <c r="A27" s="132"/>
      <c r="B27" s="132"/>
      <c r="C27" s="132" t="s">
        <v>141</v>
      </c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</row>
    <row r="28" spans="1:23" x14ac:dyDescent="0.15">
      <c r="A28" s="132"/>
      <c r="B28" s="132"/>
      <c r="C28" s="133"/>
      <c r="D28" s="133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</row>
    <row r="29" spans="1:23" x14ac:dyDescent="0.15">
      <c r="A29" s="132"/>
      <c r="B29" s="132"/>
      <c r="C29" s="70" t="s">
        <v>4</v>
      </c>
      <c r="D29" s="71" t="s">
        <v>136</v>
      </c>
      <c r="E29" s="71" t="s">
        <v>230</v>
      </c>
      <c r="F29" s="73"/>
      <c r="G29" s="72"/>
      <c r="H29" s="71" t="s">
        <v>178</v>
      </c>
      <c r="I29" s="73"/>
      <c r="J29" s="72"/>
      <c r="K29" s="95" t="s">
        <v>399</v>
      </c>
      <c r="L29" s="93"/>
      <c r="M29" s="93"/>
      <c r="N29" s="93"/>
      <c r="O29" s="93"/>
      <c r="P29" s="93"/>
      <c r="Q29" s="93"/>
      <c r="R29" s="94"/>
      <c r="S29" s="95" t="s">
        <v>400</v>
      </c>
      <c r="T29" s="151"/>
      <c r="U29" s="94"/>
      <c r="V29" s="132"/>
      <c r="W29" s="132"/>
    </row>
    <row r="30" spans="1:23" ht="27" customHeight="1" x14ac:dyDescent="0.15">
      <c r="A30" s="132"/>
      <c r="B30" s="132"/>
      <c r="C30" s="135">
        <v>1</v>
      </c>
      <c r="D30" s="136" t="s">
        <v>170</v>
      </c>
      <c r="E30" s="137" t="s">
        <v>169</v>
      </c>
      <c r="F30" s="138"/>
      <c r="G30" s="139"/>
      <c r="H30" s="140">
        <v>11</v>
      </c>
      <c r="I30" s="141"/>
      <c r="J30" s="142"/>
      <c r="K30" s="152" t="s">
        <v>378</v>
      </c>
      <c r="L30" s="153"/>
      <c r="M30" s="153"/>
      <c r="N30" s="153"/>
      <c r="O30" s="153"/>
      <c r="P30" s="153"/>
      <c r="Q30" s="153"/>
      <c r="R30" s="154"/>
      <c r="S30" s="140">
        <v>8</v>
      </c>
      <c r="T30" s="155"/>
      <c r="U30" s="156"/>
      <c r="V30" s="132"/>
      <c r="W30" s="157"/>
    </row>
    <row r="31" spans="1:23" ht="27" x14ac:dyDescent="0.15">
      <c r="A31" s="132"/>
      <c r="B31" s="132"/>
      <c r="C31" s="135">
        <v>2</v>
      </c>
      <c r="D31" s="136" t="s">
        <v>171</v>
      </c>
      <c r="E31" s="137" t="s">
        <v>169</v>
      </c>
      <c r="F31" s="138"/>
      <c r="G31" s="139"/>
      <c r="H31" s="140">
        <v>9</v>
      </c>
      <c r="I31" s="138"/>
      <c r="J31" s="139"/>
      <c r="K31" s="158" t="s">
        <v>292</v>
      </c>
      <c r="L31" s="159"/>
      <c r="M31" s="159"/>
      <c r="N31" s="159"/>
      <c r="O31" s="159"/>
      <c r="P31" s="159"/>
      <c r="Q31" s="159"/>
      <c r="R31" s="160"/>
      <c r="S31" s="140">
        <v>1</v>
      </c>
      <c r="T31" s="155"/>
      <c r="U31" s="161"/>
      <c r="V31" s="132"/>
      <c r="W31" s="157"/>
    </row>
    <row r="32" spans="1:23" ht="27" x14ac:dyDescent="0.15">
      <c r="A32" s="132"/>
      <c r="B32" s="132"/>
      <c r="C32" s="135">
        <v>3</v>
      </c>
      <c r="D32" s="136" t="s">
        <v>172</v>
      </c>
      <c r="E32" s="137" t="s">
        <v>169</v>
      </c>
      <c r="F32" s="138"/>
      <c r="G32" s="139"/>
      <c r="H32" s="140">
        <v>10</v>
      </c>
      <c r="I32" s="138"/>
      <c r="J32" s="139"/>
      <c r="K32" s="162" t="s">
        <v>293</v>
      </c>
      <c r="L32" s="163"/>
      <c r="M32" s="163"/>
      <c r="N32" s="163"/>
      <c r="O32" s="163"/>
      <c r="P32" s="163"/>
      <c r="Q32" s="163"/>
      <c r="R32" s="164"/>
      <c r="S32" s="140">
        <v>1</v>
      </c>
      <c r="T32" s="155"/>
      <c r="U32" s="161"/>
      <c r="V32" s="132"/>
      <c r="W32" s="157"/>
    </row>
    <row r="33" spans="1:23" ht="159.75" customHeight="1" x14ac:dyDescent="0.15">
      <c r="A33" s="132"/>
      <c r="B33" s="132"/>
      <c r="C33" s="135">
        <v>4</v>
      </c>
      <c r="D33" s="136" t="s">
        <v>407</v>
      </c>
      <c r="E33" s="137" t="s">
        <v>169</v>
      </c>
      <c r="F33" s="138"/>
      <c r="G33" s="139"/>
      <c r="H33" s="140">
        <v>12</v>
      </c>
      <c r="I33" s="138"/>
      <c r="J33" s="139"/>
      <c r="K33" s="148" t="s">
        <v>411</v>
      </c>
      <c r="L33" s="149"/>
      <c r="M33" s="149"/>
      <c r="N33" s="149"/>
      <c r="O33" s="149"/>
      <c r="P33" s="149"/>
      <c r="Q33" s="149"/>
      <c r="R33" s="150"/>
      <c r="S33" s="140">
        <v>64</v>
      </c>
      <c r="T33" s="155"/>
      <c r="U33" s="161"/>
      <c r="V33" s="132"/>
      <c r="W33" s="157"/>
    </row>
    <row r="34" spans="1:23" x14ac:dyDescent="0.15">
      <c r="A34" s="132"/>
      <c r="B34" s="132"/>
      <c r="C34" s="135">
        <v>5</v>
      </c>
      <c r="D34" s="136" t="s">
        <v>408</v>
      </c>
      <c r="E34" s="137" t="s">
        <v>169</v>
      </c>
      <c r="F34" s="138"/>
      <c r="G34" s="139"/>
      <c r="H34" s="140">
        <v>8</v>
      </c>
      <c r="I34" s="138"/>
      <c r="J34" s="139"/>
      <c r="K34" s="162" t="s">
        <v>418</v>
      </c>
      <c r="L34" s="163"/>
      <c r="M34" s="163"/>
      <c r="N34" s="163"/>
      <c r="O34" s="163"/>
      <c r="P34" s="163"/>
      <c r="Q34" s="163"/>
      <c r="R34" s="164"/>
      <c r="S34" s="140">
        <v>1</v>
      </c>
      <c r="T34" s="155"/>
      <c r="U34" s="161"/>
      <c r="V34" s="132"/>
      <c r="W34" s="157"/>
    </row>
    <row r="35" spans="1:23" x14ac:dyDescent="0.15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</row>
    <row r="36" spans="1:23" x14ac:dyDescent="0.15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</row>
    <row r="37" spans="1:23" x14ac:dyDescent="0.15">
      <c r="A37" s="132"/>
      <c r="B37" s="132"/>
      <c r="C37" s="132" t="s">
        <v>46</v>
      </c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</row>
  </sheetData>
  <mergeCells count="4">
    <mergeCell ref="N11:U11"/>
    <mergeCell ref="K30:R30"/>
    <mergeCell ref="N20:U20"/>
    <mergeCell ref="K33:R33"/>
  </mergeCells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BFFF-1C1A-4CD9-A15F-F72913FF315E}">
  <dimension ref="A1:W33"/>
  <sheetViews>
    <sheetView showGridLines="0" workbookViewId="0"/>
  </sheetViews>
  <sheetFormatPr defaultRowHeight="13.5" x14ac:dyDescent="0.15"/>
  <cols>
    <col min="1" max="1" width="2.625" customWidth="1"/>
    <col min="2" max="2" width="2.75" customWidth="1"/>
    <col min="4" max="4" width="25.125" customWidth="1"/>
    <col min="5" max="10" width="9" customWidth="1"/>
    <col min="23" max="23" width="11.75" customWidth="1"/>
  </cols>
  <sheetData>
    <row r="1" spans="1:23" x14ac:dyDescent="0.15">
      <c r="A1" s="74" t="s">
        <v>173</v>
      </c>
    </row>
    <row r="2" spans="1:23" x14ac:dyDescent="0.15">
      <c r="A2" s="74"/>
      <c r="B2" t="s">
        <v>175</v>
      </c>
    </row>
    <row r="3" spans="1:23" x14ac:dyDescent="0.15">
      <c r="A3" s="74"/>
    </row>
    <row r="4" spans="1:23" x14ac:dyDescent="0.15">
      <c r="A4" s="74"/>
      <c r="B4" s="75" t="s">
        <v>166</v>
      </c>
    </row>
    <row r="5" spans="1:23" x14ac:dyDescent="0.15">
      <c r="C5" t="s">
        <v>137</v>
      </c>
    </row>
    <row r="6" spans="1:23" x14ac:dyDescent="0.15">
      <c r="C6" t="s">
        <v>141</v>
      </c>
    </row>
    <row r="8" spans="1:23" x14ac:dyDescent="0.15">
      <c r="C8" t="s">
        <v>179</v>
      </c>
    </row>
    <row r="9" spans="1:23" x14ac:dyDescent="0.15">
      <c r="C9" s="68"/>
      <c r="D9" s="68"/>
    </row>
    <row r="10" spans="1:23" x14ac:dyDescent="0.15">
      <c r="C10" s="70" t="s">
        <v>4</v>
      </c>
      <c r="D10" s="71" t="s">
        <v>208</v>
      </c>
      <c r="E10" s="71" t="s">
        <v>138</v>
      </c>
      <c r="F10" s="73"/>
      <c r="G10" s="72"/>
      <c r="H10" s="71" t="s">
        <v>139</v>
      </c>
      <c r="I10" s="73"/>
      <c r="J10" s="72"/>
      <c r="K10" s="71" t="s">
        <v>140</v>
      </c>
      <c r="L10" s="73"/>
      <c r="M10" s="72"/>
      <c r="N10" s="93" t="s">
        <v>397</v>
      </c>
      <c r="O10" s="93"/>
      <c r="P10" s="93"/>
      <c r="Q10" s="93"/>
      <c r="R10" s="93"/>
      <c r="S10" s="93"/>
      <c r="T10" s="93"/>
      <c r="U10" s="94"/>
    </row>
    <row r="11" spans="1:23" ht="38.25" customHeight="1" x14ac:dyDescent="0.15">
      <c r="C11" s="66">
        <v>1</v>
      </c>
      <c r="D11" s="69" t="s">
        <v>114</v>
      </c>
      <c r="E11" s="62" t="s">
        <v>177</v>
      </c>
      <c r="F11" s="67"/>
      <c r="G11" s="63"/>
      <c r="H11" s="81">
        <v>11</v>
      </c>
      <c r="I11" s="82"/>
      <c r="J11" s="83"/>
      <c r="K11" s="81">
        <v>11</v>
      </c>
      <c r="L11" s="67"/>
      <c r="M11" s="63"/>
      <c r="N11" s="129" t="s">
        <v>375</v>
      </c>
      <c r="O11" s="130"/>
      <c r="P11" s="130"/>
      <c r="Q11" s="130"/>
      <c r="R11" s="130"/>
      <c r="S11" s="130"/>
      <c r="T11" s="130"/>
      <c r="U11" s="131"/>
      <c r="W11" s="76"/>
    </row>
    <row r="12" spans="1:23" ht="38.25" customHeight="1" x14ac:dyDescent="0.15">
      <c r="C12" s="66">
        <v>2</v>
      </c>
      <c r="D12" s="69" t="s">
        <v>115</v>
      </c>
      <c r="E12" s="62" t="s">
        <v>176</v>
      </c>
      <c r="F12" s="67"/>
      <c r="G12" s="63"/>
      <c r="H12" s="81">
        <v>11</v>
      </c>
      <c r="I12" s="82"/>
      <c r="J12" s="83"/>
      <c r="K12" s="81">
        <v>11</v>
      </c>
      <c r="L12" s="67"/>
      <c r="M12" s="63"/>
      <c r="N12" s="129" t="s">
        <v>376</v>
      </c>
      <c r="O12" s="130"/>
      <c r="P12" s="130"/>
      <c r="Q12" s="130"/>
      <c r="R12" s="130"/>
      <c r="S12" s="130"/>
      <c r="T12" s="130"/>
      <c r="U12" s="131"/>
      <c r="W12" s="76"/>
    </row>
    <row r="13" spans="1:23" ht="38.25" customHeight="1" x14ac:dyDescent="0.15">
      <c r="C13" s="66">
        <v>3</v>
      </c>
      <c r="D13" s="69" t="s">
        <v>116</v>
      </c>
      <c r="E13" s="62" t="s">
        <v>294</v>
      </c>
      <c r="F13" s="67"/>
      <c r="G13" s="63"/>
      <c r="H13" s="81">
        <v>11</v>
      </c>
      <c r="I13" s="67"/>
      <c r="J13" s="63"/>
      <c r="K13" s="81">
        <v>11</v>
      </c>
      <c r="L13" s="67"/>
      <c r="M13" s="63"/>
      <c r="N13" s="129" t="s">
        <v>295</v>
      </c>
      <c r="O13" s="130"/>
      <c r="P13" s="130"/>
      <c r="Q13" s="130"/>
      <c r="R13" s="130"/>
      <c r="S13" s="130"/>
      <c r="T13" s="130"/>
      <c r="U13" s="131"/>
      <c r="W13" s="76"/>
    </row>
    <row r="14" spans="1:23" ht="38.25" customHeight="1" x14ac:dyDescent="0.15">
      <c r="C14" s="66">
        <v>4</v>
      </c>
      <c r="D14" s="69" t="s">
        <v>117</v>
      </c>
      <c r="E14" s="62" t="s">
        <v>296</v>
      </c>
      <c r="F14" s="67"/>
      <c r="G14" s="63"/>
      <c r="H14" s="81">
        <v>11</v>
      </c>
      <c r="I14" s="82"/>
      <c r="J14" s="83"/>
      <c r="K14" s="81">
        <v>11</v>
      </c>
      <c r="L14" s="67"/>
      <c r="M14" s="63"/>
      <c r="N14" s="129" t="s">
        <v>297</v>
      </c>
      <c r="O14" s="130"/>
      <c r="P14" s="130"/>
      <c r="Q14" s="130"/>
      <c r="R14" s="130"/>
      <c r="S14" s="130"/>
      <c r="T14" s="130"/>
      <c r="U14" s="131"/>
      <c r="W14" s="76"/>
    </row>
    <row r="15" spans="1:23" ht="38.25" customHeight="1" x14ac:dyDescent="0.15">
      <c r="C15" s="66">
        <v>5</v>
      </c>
      <c r="D15" s="69" t="s">
        <v>118</v>
      </c>
      <c r="E15" s="62" t="s">
        <v>298</v>
      </c>
      <c r="F15" s="67"/>
      <c r="G15" s="63"/>
      <c r="H15" s="81">
        <v>11</v>
      </c>
      <c r="I15" s="82"/>
      <c r="J15" s="83"/>
      <c r="K15" s="81">
        <v>11</v>
      </c>
      <c r="L15" s="67"/>
      <c r="M15" s="63"/>
      <c r="N15" s="129" t="s">
        <v>299</v>
      </c>
      <c r="O15" s="130"/>
      <c r="P15" s="130"/>
      <c r="Q15" s="130"/>
      <c r="R15" s="130"/>
      <c r="S15" s="130"/>
      <c r="T15" s="130"/>
      <c r="U15" s="131"/>
      <c r="W15" s="76"/>
    </row>
    <row r="16" spans="1:23" ht="38.25" customHeight="1" x14ac:dyDescent="0.15">
      <c r="C16" s="66">
        <v>6</v>
      </c>
      <c r="D16" s="69" t="s">
        <v>119</v>
      </c>
      <c r="E16" s="62" t="s">
        <v>300</v>
      </c>
      <c r="F16" s="67"/>
      <c r="G16" s="63"/>
      <c r="H16" s="81">
        <v>11</v>
      </c>
      <c r="I16" s="82"/>
      <c r="J16" s="83"/>
      <c r="K16" s="81">
        <v>11</v>
      </c>
      <c r="L16" s="67"/>
      <c r="M16" s="63"/>
      <c r="N16" s="129" t="s">
        <v>301</v>
      </c>
      <c r="O16" s="130"/>
      <c r="P16" s="130"/>
      <c r="Q16" s="130"/>
      <c r="R16" s="130"/>
      <c r="S16" s="130"/>
      <c r="T16" s="130"/>
      <c r="U16" s="131"/>
      <c r="W16" s="76"/>
    </row>
    <row r="20" spans="1:23" x14ac:dyDescent="0.15">
      <c r="A20" s="74"/>
      <c r="B20" s="75" t="s">
        <v>167</v>
      </c>
    </row>
    <row r="21" spans="1:23" x14ac:dyDescent="0.15">
      <c r="C21" t="s">
        <v>168</v>
      </c>
    </row>
    <row r="22" spans="1:23" x14ac:dyDescent="0.15">
      <c r="C22" t="s">
        <v>141</v>
      </c>
    </row>
    <row r="23" spans="1:23" x14ac:dyDescent="0.15">
      <c r="C23" s="68"/>
      <c r="D23" s="68"/>
    </row>
    <row r="24" spans="1:23" x14ac:dyDescent="0.15">
      <c r="C24" s="70" t="s">
        <v>4</v>
      </c>
      <c r="D24" s="71" t="s">
        <v>208</v>
      </c>
      <c r="E24" s="71" t="s">
        <v>230</v>
      </c>
      <c r="F24" s="73"/>
      <c r="G24" s="72"/>
      <c r="H24" s="71" t="s">
        <v>178</v>
      </c>
      <c r="I24" s="73"/>
      <c r="J24" s="72"/>
      <c r="K24" s="95" t="s">
        <v>399</v>
      </c>
      <c r="L24" s="93"/>
      <c r="M24" s="93"/>
      <c r="N24" s="93"/>
      <c r="O24" s="93"/>
      <c r="P24" s="93"/>
      <c r="Q24" s="93"/>
      <c r="R24" s="94"/>
      <c r="S24" s="84"/>
      <c r="T24" s="84"/>
      <c r="U24" s="84"/>
    </row>
    <row r="25" spans="1:23" ht="31.5" customHeight="1" x14ac:dyDescent="0.15">
      <c r="C25" s="66">
        <v>1</v>
      </c>
      <c r="D25" s="69" t="s">
        <v>114</v>
      </c>
      <c r="E25" s="62" t="s">
        <v>302</v>
      </c>
      <c r="F25" s="67"/>
      <c r="G25" s="63"/>
      <c r="H25" s="81">
        <v>11</v>
      </c>
      <c r="I25" s="82"/>
      <c r="J25" s="83"/>
      <c r="K25" s="123" t="s">
        <v>303</v>
      </c>
      <c r="L25" s="124"/>
      <c r="M25" s="124"/>
      <c r="N25" s="124"/>
      <c r="O25" s="124"/>
      <c r="P25" s="124"/>
      <c r="Q25" s="124"/>
      <c r="R25" s="125"/>
      <c r="S25" s="85"/>
      <c r="T25" s="85"/>
      <c r="U25" s="85"/>
      <c r="W25" s="76"/>
    </row>
    <row r="26" spans="1:23" ht="31.5" customHeight="1" x14ac:dyDescent="0.15">
      <c r="C26" s="66">
        <v>2</v>
      </c>
      <c r="D26" s="69" t="s">
        <v>115</v>
      </c>
      <c r="E26" s="62" t="s">
        <v>304</v>
      </c>
      <c r="F26" s="67"/>
      <c r="G26" s="63"/>
      <c r="H26" s="81">
        <v>11</v>
      </c>
      <c r="I26" s="67"/>
      <c r="J26" s="63"/>
      <c r="K26" s="126" t="s">
        <v>305</v>
      </c>
      <c r="L26" s="127"/>
      <c r="M26" s="127"/>
      <c r="N26" s="127"/>
      <c r="O26" s="127"/>
      <c r="P26" s="127"/>
      <c r="Q26" s="127"/>
      <c r="R26" s="128"/>
      <c r="S26" s="77"/>
      <c r="T26" s="77"/>
      <c r="U26" s="77"/>
      <c r="W26" s="76"/>
    </row>
    <row r="27" spans="1:23" ht="31.5" customHeight="1" x14ac:dyDescent="0.15">
      <c r="C27" s="66">
        <v>3</v>
      </c>
      <c r="D27" s="69" t="s">
        <v>116</v>
      </c>
      <c r="E27" s="62" t="s">
        <v>306</v>
      </c>
      <c r="F27" s="67"/>
      <c r="G27" s="63"/>
      <c r="H27" s="81">
        <v>11</v>
      </c>
      <c r="I27" s="82"/>
      <c r="J27" s="83"/>
      <c r="K27" s="126" t="s">
        <v>307</v>
      </c>
      <c r="L27" s="127"/>
      <c r="M27" s="127"/>
      <c r="N27" s="127"/>
      <c r="O27" s="127"/>
      <c r="P27" s="127"/>
      <c r="Q27" s="127"/>
      <c r="R27" s="128"/>
      <c r="S27" s="77"/>
      <c r="T27" s="77"/>
      <c r="U27" s="77"/>
      <c r="W27" s="76"/>
    </row>
    <row r="28" spans="1:23" ht="31.5" customHeight="1" x14ac:dyDescent="0.15">
      <c r="C28" s="66">
        <v>4</v>
      </c>
      <c r="D28" s="69" t="s">
        <v>117</v>
      </c>
      <c r="E28" s="62" t="s">
        <v>308</v>
      </c>
      <c r="F28" s="67"/>
      <c r="G28" s="63"/>
      <c r="H28" s="81">
        <v>11</v>
      </c>
      <c r="I28" s="67"/>
      <c r="J28" s="63"/>
      <c r="K28" s="126" t="s">
        <v>309</v>
      </c>
      <c r="L28" s="127"/>
      <c r="M28" s="127"/>
      <c r="N28" s="127"/>
      <c r="O28" s="127"/>
      <c r="P28" s="127"/>
      <c r="Q28" s="127"/>
      <c r="R28" s="128"/>
      <c r="S28" s="77"/>
      <c r="T28" s="77"/>
      <c r="U28" s="77"/>
      <c r="W28" s="76"/>
    </row>
    <row r="29" spans="1:23" ht="31.5" customHeight="1" x14ac:dyDescent="0.15">
      <c r="C29" s="66">
        <v>5</v>
      </c>
      <c r="D29" s="69" t="s">
        <v>118</v>
      </c>
      <c r="E29" s="62" t="s">
        <v>310</v>
      </c>
      <c r="F29" s="67"/>
      <c r="G29" s="63"/>
      <c r="H29" s="81">
        <v>11</v>
      </c>
      <c r="I29" s="67"/>
      <c r="J29" s="63"/>
      <c r="K29" s="126" t="s">
        <v>311</v>
      </c>
      <c r="L29" s="127"/>
      <c r="M29" s="127"/>
      <c r="N29" s="127"/>
      <c r="O29" s="127"/>
      <c r="P29" s="127"/>
      <c r="Q29" s="127"/>
      <c r="R29" s="128"/>
      <c r="S29" s="77"/>
      <c r="T29" s="77"/>
      <c r="U29" s="77"/>
      <c r="W29" s="76"/>
    </row>
    <row r="30" spans="1:23" ht="31.5" customHeight="1" x14ac:dyDescent="0.15">
      <c r="C30" s="66">
        <v>6</v>
      </c>
      <c r="D30" s="69" t="s">
        <v>119</v>
      </c>
      <c r="E30" s="62" t="s">
        <v>312</v>
      </c>
      <c r="F30" s="67"/>
      <c r="G30" s="63"/>
      <c r="H30" s="81">
        <v>11</v>
      </c>
      <c r="I30" s="67"/>
      <c r="J30" s="63"/>
      <c r="K30" s="126" t="s">
        <v>313</v>
      </c>
      <c r="L30" s="127"/>
      <c r="M30" s="127"/>
      <c r="N30" s="127"/>
      <c r="O30" s="127"/>
      <c r="P30" s="127"/>
      <c r="Q30" s="127"/>
      <c r="R30" s="128"/>
      <c r="S30" s="77"/>
      <c r="T30" s="77"/>
      <c r="U30" s="77"/>
      <c r="W30" s="76"/>
    </row>
    <row r="33" spans="3:3" x14ac:dyDescent="0.15">
      <c r="C33" t="s">
        <v>46</v>
      </c>
    </row>
  </sheetData>
  <mergeCells count="12">
    <mergeCell ref="N11:U11"/>
    <mergeCell ref="N12:U12"/>
    <mergeCell ref="K25:R25"/>
    <mergeCell ref="N13:U13"/>
    <mergeCell ref="N14:U14"/>
    <mergeCell ref="N15:U15"/>
    <mergeCell ref="N16:U16"/>
    <mergeCell ref="K26:R26"/>
    <mergeCell ref="K27:R27"/>
    <mergeCell ref="K28:R28"/>
    <mergeCell ref="K29:R29"/>
    <mergeCell ref="K30:R30"/>
  </mergeCells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0234-47E9-49DA-AFCA-BB91CB95997F}">
  <dimension ref="A1:W29"/>
  <sheetViews>
    <sheetView showGridLines="0" workbookViewId="0"/>
  </sheetViews>
  <sheetFormatPr defaultRowHeight="13.5" x14ac:dyDescent="0.15"/>
  <cols>
    <col min="1" max="1" width="2.625" customWidth="1"/>
    <col min="2" max="2" width="2.75" customWidth="1"/>
    <col min="4" max="4" width="25.125" customWidth="1"/>
    <col min="5" max="10" width="9" customWidth="1"/>
    <col min="23" max="23" width="11.75" customWidth="1"/>
  </cols>
  <sheetData>
    <row r="1" spans="1:23" x14ac:dyDescent="0.15">
      <c r="A1" s="74" t="s">
        <v>196</v>
      </c>
    </row>
    <row r="2" spans="1:23" x14ac:dyDescent="0.15">
      <c r="A2" s="74"/>
      <c r="B2" t="s">
        <v>197</v>
      </c>
    </row>
    <row r="3" spans="1:23" x14ac:dyDescent="0.15">
      <c r="A3" s="74"/>
    </row>
    <row r="4" spans="1:23" x14ac:dyDescent="0.15">
      <c r="A4" s="74"/>
      <c r="B4" s="75" t="s">
        <v>166</v>
      </c>
    </row>
    <row r="5" spans="1:23" x14ac:dyDescent="0.15">
      <c r="A5" s="74"/>
      <c r="B5" s="75"/>
      <c r="C5" t="s">
        <v>203</v>
      </c>
    </row>
    <row r="6" spans="1:23" x14ac:dyDescent="0.15">
      <c r="A6" s="74"/>
      <c r="B6" s="75"/>
    </row>
    <row r="7" spans="1:23" x14ac:dyDescent="0.15">
      <c r="C7" t="s">
        <v>137</v>
      </c>
    </row>
    <row r="8" spans="1:23" x14ac:dyDescent="0.15">
      <c r="C8" t="s">
        <v>141</v>
      </c>
    </row>
    <row r="10" spans="1:23" x14ac:dyDescent="0.15">
      <c r="C10" s="70" t="s">
        <v>4</v>
      </c>
      <c r="D10" s="71" t="s">
        <v>207</v>
      </c>
      <c r="E10" s="71" t="s">
        <v>138</v>
      </c>
      <c r="F10" s="73"/>
      <c r="G10" s="72"/>
      <c r="H10" s="71" t="s">
        <v>139</v>
      </c>
      <c r="I10" s="73"/>
      <c r="J10" s="72"/>
      <c r="K10" s="71" t="s">
        <v>140</v>
      </c>
      <c r="L10" s="73"/>
      <c r="M10" s="72"/>
      <c r="N10" s="93" t="s">
        <v>397</v>
      </c>
      <c r="O10" s="93"/>
      <c r="P10" s="93"/>
      <c r="Q10" s="93"/>
      <c r="R10" s="93"/>
      <c r="S10" s="93"/>
      <c r="T10" s="93"/>
      <c r="U10" s="94"/>
    </row>
    <row r="11" spans="1:23" ht="54" customHeight="1" x14ac:dyDescent="0.15">
      <c r="C11" s="66">
        <v>1</v>
      </c>
      <c r="D11" s="69" t="s">
        <v>198</v>
      </c>
      <c r="E11" s="129" t="s">
        <v>202</v>
      </c>
      <c r="F11" s="130"/>
      <c r="G11" s="131"/>
      <c r="H11" s="81">
        <v>11</v>
      </c>
      <c r="I11" s="82"/>
      <c r="J11" s="83"/>
      <c r="K11" s="81">
        <v>11</v>
      </c>
      <c r="L11" s="67"/>
      <c r="M11" s="63"/>
      <c r="N11" s="129" t="s">
        <v>374</v>
      </c>
      <c r="O11" s="130"/>
      <c r="P11" s="130"/>
      <c r="Q11" s="130"/>
      <c r="R11" s="130"/>
      <c r="S11" s="130"/>
      <c r="T11" s="130"/>
      <c r="U11" s="131"/>
      <c r="W11" s="76"/>
    </row>
    <row r="12" spans="1:23" ht="54" customHeight="1" x14ac:dyDescent="0.15">
      <c r="C12" s="66">
        <v>2</v>
      </c>
      <c r="D12" s="69" t="s">
        <v>200</v>
      </c>
      <c r="E12" s="129" t="s">
        <v>202</v>
      </c>
      <c r="F12" s="130"/>
      <c r="G12" s="131"/>
      <c r="H12" s="81">
        <v>8</v>
      </c>
      <c r="I12" s="82"/>
      <c r="J12" s="83"/>
      <c r="K12" s="81">
        <v>8</v>
      </c>
      <c r="L12" s="67"/>
      <c r="M12" s="63"/>
      <c r="N12" s="126" t="s">
        <v>314</v>
      </c>
      <c r="O12" s="127"/>
      <c r="P12" s="127"/>
      <c r="Q12" s="127"/>
      <c r="R12" s="127"/>
      <c r="S12" s="127"/>
      <c r="T12" s="127"/>
      <c r="U12" s="128"/>
      <c r="W12" s="76"/>
    </row>
    <row r="13" spans="1:23" ht="54" customHeight="1" x14ac:dyDescent="0.15">
      <c r="C13" s="66">
        <v>3</v>
      </c>
      <c r="D13" s="69" t="s">
        <v>199</v>
      </c>
      <c r="E13" s="129" t="s">
        <v>315</v>
      </c>
      <c r="F13" s="130"/>
      <c r="G13" s="131"/>
      <c r="H13" s="88">
        <v>11</v>
      </c>
      <c r="I13" s="67"/>
      <c r="J13" s="63"/>
      <c r="K13" s="88">
        <v>11</v>
      </c>
      <c r="L13" s="67"/>
      <c r="M13" s="63"/>
      <c r="N13" s="126" t="s">
        <v>371</v>
      </c>
      <c r="O13" s="127"/>
      <c r="P13" s="127"/>
      <c r="Q13" s="127"/>
      <c r="R13" s="127"/>
      <c r="S13" s="127"/>
      <c r="T13" s="127"/>
      <c r="U13" s="128"/>
      <c r="W13" s="76"/>
    </row>
    <row r="14" spans="1:23" ht="54" customHeight="1" x14ac:dyDescent="0.15">
      <c r="C14" s="66">
        <v>4</v>
      </c>
      <c r="D14" s="69" t="s">
        <v>201</v>
      </c>
      <c r="E14" s="129" t="s">
        <v>316</v>
      </c>
      <c r="F14" s="130"/>
      <c r="G14" s="131"/>
      <c r="H14" s="88">
        <v>8</v>
      </c>
      <c r="I14" s="89"/>
      <c r="J14" s="90"/>
      <c r="K14" s="88">
        <v>8</v>
      </c>
      <c r="L14" s="67"/>
      <c r="M14" s="63"/>
      <c r="N14" s="87" t="s">
        <v>317</v>
      </c>
      <c r="O14" s="67"/>
      <c r="P14" s="67"/>
      <c r="Q14" s="67"/>
      <c r="R14" s="67"/>
      <c r="S14" s="67"/>
      <c r="T14" s="67"/>
      <c r="U14" s="63"/>
      <c r="W14" s="76"/>
    </row>
    <row r="18" spans="1:23" x14ac:dyDescent="0.15">
      <c r="A18" s="74"/>
      <c r="B18" s="75" t="s">
        <v>167</v>
      </c>
    </row>
    <row r="19" spans="1:23" x14ac:dyDescent="0.15">
      <c r="C19" t="s">
        <v>168</v>
      </c>
    </row>
    <row r="20" spans="1:23" x14ac:dyDescent="0.15">
      <c r="C20" t="s">
        <v>141</v>
      </c>
    </row>
    <row r="21" spans="1:23" x14ac:dyDescent="0.15">
      <c r="C21" s="68"/>
      <c r="D21" s="68"/>
    </row>
    <row r="22" spans="1:23" x14ac:dyDescent="0.15">
      <c r="C22" s="70" t="s">
        <v>4</v>
      </c>
      <c r="D22" s="71" t="s">
        <v>207</v>
      </c>
      <c r="E22" s="71" t="s">
        <v>230</v>
      </c>
      <c r="F22" s="73"/>
      <c r="G22" s="72"/>
      <c r="H22" s="71" t="s">
        <v>178</v>
      </c>
      <c r="I22" s="73"/>
      <c r="J22" s="72"/>
      <c r="K22" s="95" t="s">
        <v>399</v>
      </c>
      <c r="L22" s="93"/>
      <c r="M22" s="93"/>
      <c r="N22" s="93"/>
      <c r="O22" s="93"/>
      <c r="P22" s="93"/>
      <c r="Q22" s="93"/>
      <c r="R22" s="94"/>
      <c r="S22" s="84"/>
      <c r="T22" s="84"/>
      <c r="U22" s="84"/>
    </row>
    <row r="23" spans="1:23" ht="159.75" customHeight="1" x14ac:dyDescent="0.15">
      <c r="C23" s="66">
        <v>1</v>
      </c>
      <c r="D23" s="69" t="s">
        <v>198</v>
      </c>
      <c r="E23" s="129" t="s">
        <v>318</v>
      </c>
      <c r="F23" s="130"/>
      <c r="G23" s="131"/>
      <c r="H23" s="81">
        <v>11</v>
      </c>
      <c r="I23" s="82"/>
      <c r="J23" s="83"/>
      <c r="K23" s="123" t="s">
        <v>319</v>
      </c>
      <c r="L23" s="124"/>
      <c r="M23" s="124"/>
      <c r="N23" s="124"/>
      <c r="O23" s="124"/>
      <c r="P23" s="124"/>
      <c r="Q23" s="124"/>
      <c r="R23" s="125"/>
      <c r="S23" s="85"/>
      <c r="T23" s="85"/>
      <c r="U23" s="85"/>
      <c r="W23" s="76"/>
    </row>
    <row r="24" spans="1:23" ht="27" x14ac:dyDescent="0.15">
      <c r="C24" s="66">
        <v>2</v>
      </c>
      <c r="D24" s="69" t="s">
        <v>200</v>
      </c>
      <c r="E24" s="129" t="s">
        <v>318</v>
      </c>
      <c r="F24" s="130"/>
      <c r="G24" s="131"/>
      <c r="H24" s="81">
        <v>8</v>
      </c>
      <c r="I24" s="67"/>
      <c r="J24" s="63"/>
      <c r="K24" s="64" t="s">
        <v>320</v>
      </c>
      <c r="L24" s="78"/>
      <c r="M24" s="78"/>
      <c r="N24" s="78"/>
      <c r="O24" s="78"/>
      <c r="P24" s="78"/>
      <c r="Q24" s="78"/>
      <c r="R24" s="65"/>
      <c r="S24" s="77"/>
      <c r="T24" s="77"/>
      <c r="U24" s="77"/>
      <c r="W24" s="76"/>
    </row>
    <row r="25" spans="1:23" ht="197.25" customHeight="1" x14ac:dyDescent="0.15">
      <c r="C25" s="66">
        <v>3</v>
      </c>
      <c r="D25" s="69" t="s">
        <v>199</v>
      </c>
      <c r="E25" s="129" t="s">
        <v>321</v>
      </c>
      <c r="F25" s="130"/>
      <c r="G25" s="131"/>
      <c r="H25" s="81">
        <v>11</v>
      </c>
      <c r="I25" s="67"/>
      <c r="J25" s="63"/>
      <c r="K25" s="129" t="s">
        <v>322</v>
      </c>
      <c r="L25" s="130"/>
      <c r="M25" s="130"/>
      <c r="N25" s="130"/>
      <c r="O25" s="130"/>
      <c r="P25" s="130"/>
      <c r="Q25" s="130"/>
      <c r="R25" s="131"/>
      <c r="S25" s="77"/>
      <c r="T25" s="77"/>
      <c r="U25" s="77"/>
      <c r="W25" s="76"/>
    </row>
    <row r="26" spans="1:23" ht="27" x14ac:dyDescent="0.15">
      <c r="C26" s="66">
        <v>4</v>
      </c>
      <c r="D26" s="69" t="s">
        <v>201</v>
      </c>
      <c r="E26" s="129" t="s">
        <v>323</v>
      </c>
      <c r="F26" s="130"/>
      <c r="G26" s="131"/>
      <c r="H26" s="81">
        <v>8</v>
      </c>
      <c r="I26" s="67"/>
      <c r="J26" s="63"/>
      <c r="K26" s="62" t="s">
        <v>324</v>
      </c>
      <c r="L26" s="67"/>
      <c r="M26" s="67"/>
      <c r="N26" s="67"/>
      <c r="O26" s="67"/>
      <c r="P26" s="67"/>
      <c r="Q26" s="67"/>
      <c r="R26" s="63"/>
      <c r="S26" s="77"/>
      <c r="T26" s="77"/>
      <c r="U26" s="77"/>
      <c r="W26" s="76"/>
    </row>
    <row r="29" spans="1:23" x14ac:dyDescent="0.15">
      <c r="C29" t="s">
        <v>46</v>
      </c>
    </row>
  </sheetData>
  <mergeCells count="13">
    <mergeCell ref="E24:G24"/>
    <mergeCell ref="E25:G25"/>
    <mergeCell ref="E26:G26"/>
    <mergeCell ref="N11:U11"/>
    <mergeCell ref="N12:U12"/>
    <mergeCell ref="K23:R23"/>
    <mergeCell ref="E11:G11"/>
    <mergeCell ref="E12:G12"/>
    <mergeCell ref="E13:G13"/>
    <mergeCell ref="E14:G14"/>
    <mergeCell ref="E23:G23"/>
    <mergeCell ref="N13:U13"/>
    <mergeCell ref="K25:R25"/>
  </mergeCells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0106-F4BA-432F-B017-2BF06701C4BB}">
  <dimension ref="A1:W37"/>
  <sheetViews>
    <sheetView showGridLines="0" workbookViewId="0"/>
  </sheetViews>
  <sheetFormatPr defaultRowHeight="13.5" x14ac:dyDescent="0.15"/>
  <cols>
    <col min="1" max="1" width="2.625" customWidth="1"/>
    <col min="2" max="2" width="2.75" customWidth="1"/>
    <col min="4" max="4" width="25.125" customWidth="1"/>
    <col min="5" max="10" width="9" customWidth="1"/>
    <col min="23" max="23" width="11.75" customWidth="1"/>
  </cols>
  <sheetData>
    <row r="1" spans="1:23" x14ac:dyDescent="0.15">
      <c r="A1" s="74" t="s">
        <v>205</v>
      </c>
    </row>
    <row r="2" spans="1:23" x14ac:dyDescent="0.15">
      <c r="A2" s="74"/>
      <c r="B2" t="s">
        <v>204</v>
      </c>
    </row>
    <row r="3" spans="1:23" x14ac:dyDescent="0.15">
      <c r="A3" s="74"/>
    </row>
    <row r="4" spans="1:23" x14ac:dyDescent="0.15">
      <c r="A4" s="74"/>
      <c r="B4" s="75" t="s">
        <v>166</v>
      </c>
    </row>
    <row r="5" spans="1:23" x14ac:dyDescent="0.15">
      <c r="C5" t="s">
        <v>210</v>
      </c>
    </row>
    <row r="7" spans="1:23" x14ac:dyDescent="0.15">
      <c r="C7" t="s">
        <v>137</v>
      </c>
    </row>
    <row r="8" spans="1:23" x14ac:dyDescent="0.15">
      <c r="C8" t="s">
        <v>141</v>
      </c>
    </row>
    <row r="9" spans="1:23" x14ac:dyDescent="0.15">
      <c r="C9" s="68"/>
      <c r="D9" s="68"/>
    </row>
    <row r="10" spans="1:23" x14ac:dyDescent="0.15">
      <c r="C10" s="70" t="s">
        <v>4</v>
      </c>
      <c r="D10" s="71" t="s">
        <v>206</v>
      </c>
      <c r="E10" s="71" t="s">
        <v>138</v>
      </c>
      <c r="F10" s="73"/>
      <c r="G10" s="72"/>
      <c r="H10" s="71" t="s">
        <v>139</v>
      </c>
      <c r="I10" s="73"/>
      <c r="J10" s="72"/>
      <c r="K10" s="71" t="s">
        <v>140</v>
      </c>
      <c r="L10" s="73"/>
      <c r="M10" s="72"/>
      <c r="N10" s="93" t="s">
        <v>397</v>
      </c>
      <c r="O10" s="93"/>
      <c r="P10" s="93"/>
      <c r="Q10" s="93"/>
      <c r="R10" s="93"/>
      <c r="S10" s="93"/>
      <c r="T10" s="93"/>
      <c r="U10" s="94"/>
    </row>
    <row r="11" spans="1:23" x14ac:dyDescent="0.15">
      <c r="C11" s="66">
        <v>1</v>
      </c>
      <c r="D11" s="69" t="s">
        <v>101</v>
      </c>
      <c r="E11" s="62" t="s">
        <v>352</v>
      </c>
      <c r="F11" s="67"/>
      <c r="G11" s="63"/>
      <c r="H11" s="81">
        <v>10</v>
      </c>
      <c r="I11" s="82"/>
      <c r="J11" s="83"/>
      <c r="K11" s="81">
        <v>10</v>
      </c>
      <c r="L11" s="67"/>
      <c r="M11" s="63"/>
      <c r="N11" s="129" t="s">
        <v>209</v>
      </c>
      <c r="O11" s="130"/>
      <c r="P11" s="130"/>
      <c r="Q11" s="130"/>
      <c r="R11" s="130"/>
      <c r="S11" s="130"/>
      <c r="T11" s="130"/>
      <c r="U11" s="131"/>
      <c r="W11" s="76"/>
    </row>
    <row r="12" spans="1:23" x14ac:dyDescent="0.15">
      <c r="C12" s="66">
        <v>2</v>
      </c>
      <c r="D12" s="69" t="s">
        <v>102</v>
      </c>
      <c r="E12" s="62" t="s">
        <v>353</v>
      </c>
      <c r="F12" s="67"/>
      <c r="G12" s="63"/>
      <c r="H12" s="81">
        <v>10</v>
      </c>
      <c r="I12" s="82"/>
      <c r="J12" s="63"/>
      <c r="K12" s="81">
        <v>10</v>
      </c>
      <c r="L12" s="67"/>
      <c r="M12" s="63"/>
      <c r="N12" s="129" t="s">
        <v>209</v>
      </c>
      <c r="O12" s="130"/>
      <c r="P12" s="130"/>
      <c r="Q12" s="130"/>
      <c r="R12" s="130"/>
      <c r="S12" s="130"/>
      <c r="T12" s="130"/>
      <c r="U12" s="131"/>
      <c r="W12" s="76"/>
    </row>
    <row r="13" spans="1:23" x14ac:dyDescent="0.15">
      <c r="C13" s="66">
        <v>3</v>
      </c>
      <c r="D13" s="69" t="s">
        <v>103</v>
      </c>
      <c r="E13" s="62" t="s">
        <v>354</v>
      </c>
      <c r="F13" s="67"/>
      <c r="G13" s="63"/>
      <c r="H13" s="81">
        <v>10</v>
      </c>
      <c r="I13" s="82"/>
      <c r="J13" s="83"/>
      <c r="K13" s="81">
        <v>10</v>
      </c>
      <c r="L13" s="67"/>
      <c r="M13" s="63"/>
      <c r="N13" s="129" t="s">
        <v>209</v>
      </c>
      <c r="O13" s="130"/>
      <c r="P13" s="130"/>
      <c r="Q13" s="130"/>
      <c r="R13" s="130"/>
      <c r="S13" s="130"/>
      <c r="T13" s="130"/>
      <c r="U13" s="131"/>
      <c r="W13" s="76"/>
    </row>
    <row r="14" spans="1:23" x14ac:dyDescent="0.15">
      <c r="C14" s="66">
        <v>4</v>
      </c>
      <c r="D14" s="69" t="s">
        <v>104</v>
      </c>
      <c r="E14" s="62" t="s">
        <v>355</v>
      </c>
      <c r="F14" s="67"/>
      <c r="G14" s="63"/>
      <c r="H14" s="81">
        <v>10</v>
      </c>
      <c r="I14" s="82"/>
      <c r="J14" s="83"/>
      <c r="K14" s="81">
        <v>10</v>
      </c>
      <c r="L14" s="67"/>
      <c r="M14" s="63"/>
      <c r="N14" s="129" t="s">
        <v>209</v>
      </c>
      <c r="O14" s="130"/>
      <c r="P14" s="130"/>
      <c r="Q14" s="130"/>
      <c r="R14" s="130"/>
      <c r="S14" s="130"/>
      <c r="T14" s="130"/>
      <c r="U14" s="131"/>
      <c r="W14" s="76"/>
    </row>
    <row r="15" spans="1:23" x14ac:dyDescent="0.15">
      <c r="C15" s="66">
        <v>5</v>
      </c>
      <c r="D15" s="69" t="s">
        <v>105</v>
      </c>
      <c r="E15" s="62" t="s">
        <v>356</v>
      </c>
      <c r="F15" s="67"/>
      <c r="G15" s="63"/>
      <c r="H15" s="81">
        <v>10</v>
      </c>
      <c r="I15" s="82"/>
      <c r="J15" s="83"/>
      <c r="K15" s="81">
        <v>10</v>
      </c>
      <c r="L15" s="67"/>
      <c r="M15" s="63"/>
      <c r="N15" s="129" t="s">
        <v>209</v>
      </c>
      <c r="O15" s="130"/>
      <c r="P15" s="130"/>
      <c r="Q15" s="130"/>
      <c r="R15" s="130"/>
      <c r="S15" s="130"/>
      <c r="T15" s="130"/>
      <c r="U15" s="131"/>
      <c r="W15" s="76"/>
    </row>
    <row r="16" spans="1:23" x14ac:dyDescent="0.15">
      <c r="C16" s="66">
        <v>6</v>
      </c>
      <c r="D16" s="69" t="s">
        <v>106</v>
      </c>
      <c r="E16" s="62" t="s">
        <v>357</v>
      </c>
      <c r="F16" s="67"/>
      <c r="G16" s="63"/>
      <c r="H16" s="81">
        <v>10</v>
      </c>
      <c r="I16" s="82"/>
      <c r="J16" s="83"/>
      <c r="K16" s="81">
        <v>10</v>
      </c>
      <c r="L16" s="67"/>
      <c r="M16" s="63"/>
      <c r="N16" s="129" t="s">
        <v>209</v>
      </c>
      <c r="O16" s="130"/>
      <c r="P16" s="130"/>
      <c r="Q16" s="130"/>
      <c r="R16" s="130"/>
      <c r="S16" s="130"/>
      <c r="T16" s="130"/>
      <c r="U16" s="131"/>
      <c r="W16" s="76"/>
    </row>
    <row r="17" spans="1:23" x14ac:dyDescent="0.15">
      <c r="C17" s="66">
        <v>7</v>
      </c>
      <c r="D17" s="69" t="s">
        <v>107</v>
      </c>
      <c r="E17" s="62" t="s">
        <v>358</v>
      </c>
      <c r="F17" s="67"/>
      <c r="G17" s="63"/>
      <c r="H17" s="81">
        <v>10</v>
      </c>
      <c r="I17" s="82"/>
      <c r="J17" s="83"/>
      <c r="K17" s="81">
        <v>10</v>
      </c>
      <c r="L17" s="67"/>
      <c r="M17" s="63"/>
      <c r="N17" s="129" t="s">
        <v>209</v>
      </c>
      <c r="O17" s="130"/>
      <c r="P17" s="130"/>
      <c r="Q17" s="130"/>
      <c r="R17" s="130"/>
      <c r="S17" s="130"/>
      <c r="T17" s="130"/>
      <c r="U17" s="131"/>
      <c r="W17" s="76"/>
    </row>
    <row r="18" spans="1:23" x14ac:dyDescent="0.15">
      <c r="C18" s="66">
        <v>8</v>
      </c>
      <c r="D18" s="69" t="s">
        <v>108</v>
      </c>
      <c r="E18" s="62" t="s">
        <v>359</v>
      </c>
      <c r="F18" s="67"/>
      <c r="G18" s="63"/>
      <c r="H18" s="81">
        <v>10</v>
      </c>
      <c r="I18" s="82"/>
      <c r="J18" s="83"/>
      <c r="K18" s="81">
        <v>10</v>
      </c>
      <c r="L18" s="67"/>
      <c r="M18" s="63"/>
      <c r="N18" s="129" t="s">
        <v>209</v>
      </c>
      <c r="O18" s="130"/>
      <c r="P18" s="130"/>
      <c r="Q18" s="130"/>
      <c r="R18" s="130"/>
      <c r="S18" s="130"/>
      <c r="T18" s="130"/>
      <c r="U18" s="131"/>
      <c r="W18" s="76"/>
    </row>
    <row r="22" spans="1:23" x14ac:dyDescent="0.15">
      <c r="A22" s="74"/>
      <c r="B22" s="75" t="s">
        <v>167</v>
      </c>
    </row>
    <row r="23" spans="1:23" x14ac:dyDescent="0.15">
      <c r="C23" t="s">
        <v>168</v>
      </c>
    </row>
    <row r="24" spans="1:23" x14ac:dyDescent="0.15">
      <c r="C24" t="s">
        <v>141</v>
      </c>
    </row>
    <row r="25" spans="1:23" x14ac:dyDescent="0.15">
      <c r="C25" s="68"/>
      <c r="D25" s="68"/>
    </row>
    <row r="26" spans="1:23" x14ac:dyDescent="0.15">
      <c r="C26" s="70" t="s">
        <v>4</v>
      </c>
      <c r="D26" s="71" t="s">
        <v>206</v>
      </c>
      <c r="E26" s="71" t="s">
        <v>230</v>
      </c>
      <c r="F26" s="73"/>
      <c r="G26" s="72"/>
      <c r="H26" s="71" t="s">
        <v>178</v>
      </c>
      <c r="I26" s="73"/>
      <c r="J26" s="72"/>
      <c r="K26" s="95" t="s">
        <v>399</v>
      </c>
      <c r="L26" s="93"/>
      <c r="M26" s="93"/>
      <c r="N26" s="93"/>
      <c r="O26" s="93"/>
      <c r="P26" s="93"/>
      <c r="Q26" s="93"/>
      <c r="R26" s="94"/>
      <c r="S26" s="84"/>
      <c r="T26" s="84"/>
      <c r="U26" s="84"/>
    </row>
    <row r="27" spans="1:23" x14ac:dyDescent="0.15">
      <c r="C27" s="66">
        <v>1</v>
      </c>
      <c r="D27" s="69" t="s">
        <v>101</v>
      </c>
      <c r="E27" s="62" t="s">
        <v>360</v>
      </c>
      <c r="F27" s="67"/>
      <c r="G27" s="63"/>
      <c r="H27" s="81">
        <v>10</v>
      </c>
      <c r="I27" s="82"/>
      <c r="J27" s="83"/>
      <c r="K27" s="123" t="s">
        <v>368</v>
      </c>
      <c r="L27" s="124"/>
      <c r="M27" s="124"/>
      <c r="N27" s="124"/>
      <c r="O27" s="124"/>
      <c r="P27" s="124"/>
      <c r="Q27" s="124"/>
      <c r="R27" s="125"/>
      <c r="S27" s="85"/>
      <c r="T27" s="85"/>
      <c r="U27" s="85"/>
      <c r="W27" s="76"/>
    </row>
    <row r="28" spans="1:23" x14ac:dyDescent="0.15">
      <c r="C28" s="66">
        <v>2</v>
      </c>
      <c r="D28" s="69" t="s">
        <v>102</v>
      </c>
      <c r="E28" s="62" t="s">
        <v>361</v>
      </c>
      <c r="F28" s="67"/>
      <c r="G28" s="63"/>
      <c r="H28" s="81">
        <v>10</v>
      </c>
      <c r="I28" s="82"/>
      <c r="J28" s="83"/>
      <c r="K28" s="123" t="s">
        <v>368</v>
      </c>
      <c r="L28" s="124"/>
      <c r="M28" s="124"/>
      <c r="N28" s="124"/>
      <c r="O28" s="124"/>
      <c r="P28" s="124"/>
      <c r="Q28" s="124"/>
      <c r="R28" s="125"/>
      <c r="S28" s="85"/>
      <c r="T28" s="85"/>
      <c r="U28" s="85"/>
      <c r="W28" s="76"/>
    </row>
    <row r="29" spans="1:23" x14ac:dyDescent="0.15">
      <c r="C29" s="66">
        <v>3</v>
      </c>
      <c r="D29" s="69" t="s">
        <v>103</v>
      </c>
      <c r="E29" s="62" t="s">
        <v>362</v>
      </c>
      <c r="F29" s="67"/>
      <c r="G29" s="63"/>
      <c r="H29" s="81">
        <v>10</v>
      </c>
      <c r="I29" s="82"/>
      <c r="J29" s="83"/>
      <c r="K29" s="123" t="s">
        <v>368</v>
      </c>
      <c r="L29" s="124"/>
      <c r="M29" s="124"/>
      <c r="N29" s="124"/>
      <c r="O29" s="124"/>
      <c r="P29" s="124"/>
      <c r="Q29" s="124"/>
      <c r="R29" s="125"/>
      <c r="S29" s="85"/>
      <c r="T29" s="85"/>
      <c r="U29" s="85"/>
      <c r="W29" s="76"/>
    </row>
    <row r="30" spans="1:23" x14ac:dyDescent="0.15">
      <c r="C30" s="66">
        <v>4</v>
      </c>
      <c r="D30" s="69" t="s">
        <v>104</v>
      </c>
      <c r="E30" s="62" t="s">
        <v>363</v>
      </c>
      <c r="F30" s="67"/>
      <c r="G30" s="63"/>
      <c r="H30" s="81">
        <v>10</v>
      </c>
      <c r="I30" s="82"/>
      <c r="J30" s="83"/>
      <c r="K30" s="123" t="s">
        <v>368</v>
      </c>
      <c r="L30" s="124"/>
      <c r="M30" s="124"/>
      <c r="N30" s="124"/>
      <c r="O30" s="124"/>
      <c r="P30" s="124"/>
      <c r="Q30" s="124"/>
      <c r="R30" s="125"/>
      <c r="S30" s="85"/>
      <c r="T30" s="85"/>
      <c r="U30" s="85"/>
      <c r="W30" s="76"/>
    </row>
    <row r="31" spans="1:23" x14ac:dyDescent="0.15">
      <c r="C31" s="66">
        <v>5</v>
      </c>
      <c r="D31" s="69" t="s">
        <v>105</v>
      </c>
      <c r="E31" s="62" t="s">
        <v>364</v>
      </c>
      <c r="F31" s="67"/>
      <c r="G31" s="63"/>
      <c r="H31" s="81">
        <v>10</v>
      </c>
      <c r="I31" s="82"/>
      <c r="J31" s="83"/>
      <c r="K31" s="123" t="s">
        <v>368</v>
      </c>
      <c r="L31" s="124"/>
      <c r="M31" s="124"/>
      <c r="N31" s="124"/>
      <c r="O31" s="124"/>
      <c r="P31" s="124"/>
      <c r="Q31" s="124"/>
      <c r="R31" s="125"/>
      <c r="S31" s="85"/>
      <c r="T31" s="85"/>
      <c r="U31" s="85"/>
      <c r="W31" s="76"/>
    </row>
    <row r="32" spans="1:23" x14ac:dyDescent="0.15">
      <c r="C32" s="66">
        <v>6</v>
      </c>
      <c r="D32" s="69" t="s">
        <v>106</v>
      </c>
      <c r="E32" s="62" t="s">
        <v>365</v>
      </c>
      <c r="F32" s="67"/>
      <c r="G32" s="63"/>
      <c r="H32" s="81">
        <v>10</v>
      </c>
      <c r="I32" s="82"/>
      <c r="J32" s="83"/>
      <c r="K32" s="123" t="s">
        <v>368</v>
      </c>
      <c r="L32" s="124"/>
      <c r="M32" s="124"/>
      <c r="N32" s="124"/>
      <c r="O32" s="124"/>
      <c r="P32" s="124"/>
      <c r="Q32" s="124"/>
      <c r="R32" s="125"/>
      <c r="S32" s="85"/>
      <c r="T32" s="85"/>
      <c r="U32" s="85"/>
      <c r="W32" s="76"/>
    </row>
    <row r="33" spans="3:23" x14ac:dyDescent="0.15">
      <c r="C33" s="66">
        <v>7</v>
      </c>
      <c r="D33" s="69" t="s">
        <v>107</v>
      </c>
      <c r="E33" s="62" t="s">
        <v>366</v>
      </c>
      <c r="F33" s="67"/>
      <c r="G33" s="63"/>
      <c r="H33" s="81">
        <v>10</v>
      </c>
      <c r="I33" s="67"/>
      <c r="J33" s="63"/>
      <c r="K33" s="123" t="s">
        <v>368</v>
      </c>
      <c r="L33" s="124"/>
      <c r="M33" s="124"/>
      <c r="N33" s="124"/>
      <c r="O33" s="124"/>
      <c r="P33" s="124"/>
      <c r="Q33" s="124"/>
      <c r="R33" s="125"/>
      <c r="S33" s="77"/>
      <c r="T33" s="77"/>
      <c r="U33" s="77"/>
      <c r="W33" s="76"/>
    </row>
    <row r="34" spans="3:23" x14ac:dyDescent="0.15">
      <c r="C34" s="66">
        <v>8</v>
      </c>
      <c r="D34" s="69" t="s">
        <v>108</v>
      </c>
      <c r="E34" s="62" t="s">
        <v>367</v>
      </c>
      <c r="F34" s="67"/>
      <c r="G34" s="63"/>
      <c r="H34" s="81">
        <v>10</v>
      </c>
      <c r="I34" s="67"/>
      <c r="J34" s="63"/>
      <c r="K34" s="123" t="s">
        <v>368</v>
      </c>
      <c r="L34" s="124"/>
      <c r="M34" s="124"/>
      <c r="N34" s="124"/>
      <c r="O34" s="124"/>
      <c r="P34" s="124"/>
      <c r="Q34" s="124"/>
      <c r="R34" s="125"/>
      <c r="S34" s="77"/>
      <c r="T34" s="77"/>
      <c r="U34" s="77"/>
      <c r="W34" s="76"/>
    </row>
    <row r="37" spans="3:23" x14ac:dyDescent="0.15">
      <c r="C37" t="s">
        <v>46</v>
      </c>
    </row>
  </sheetData>
  <mergeCells count="16">
    <mergeCell ref="K34:R34"/>
    <mergeCell ref="K28:R28"/>
    <mergeCell ref="K29:R29"/>
    <mergeCell ref="K30:R30"/>
    <mergeCell ref="K31:R31"/>
    <mergeCell ref="K32:R32"/>
    <mergeCell ref="K33:R33"/>
    <mergeCell ref="N11:U11"/>
    <mergeCell ref="K27:R27"/>
    <mergeCell ref="N12:U12"/>
    <mergeCell ref="N13:U13"/>
    <mergeCell ref="N14:U14"/>
    <mergeCell ref="N15:U15"/>
    <mergeCell ref="N16:U16"/>
    <mergeCell ref="N17:U17"/>
    <mergeCell ref="N18:U18"/>
  </mergeCells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E2C9-08C1-4A6E-B5F7-145997819DD7}">
  <dimension ref="A1:W23"/>
  <sheetViews>
    <sheetView showGridLines="0" workbookViewId="0"/>
  </sheetViews>
  <sheetFormatPr defaultRowHeight="13.5" x14ac:dyDescent="0.15"/>
  <cols>
    <col min="1" max="1" width="2.625" customWidth="1"/>
    <col min="2" max="2" width="2.75" customWidth="1"/>
    <col min="4" max="4" width="25.125" customWidth="1"/>
    <col min="5" max="10" width="9" customWidth="1"/>
    <col min="23" max="23" width="11.75" customWidth="1"/>
  </cols>
  <sheetData>
    <row r="1" spans="1:23" x14ac:dyDescent="0.15">
      <c r="A1" s="74" t="s">
        <v>392</v>
      </c>
    </row>
    <row r="2" spans="1:23" x14ac:dyDescent="0.15">
      <c r="A2" s="74"/>
      <c r="B2" t="s">
        <v>335</v>
      </c>
    </row>
    <row r="3" spans="1:23" x14ac:dyDescent="0.15">
      <c r="A3" s="74"/>
    </row>
    <row r="4" spans="1:23" x14ac:dyDescent="0.15">
      <c r="A4" s="74"/>
      <c r="B4" s="75" t="s">
        <v>166</v>
      </c>
    </row>
    <row r="5" spans="1:23" x14ac:dyDescent="0.15">
      <c r="C5" t="s">
        <v>137</v>
      </c>
    </row>
    <row r="6" spans="1:23" x14ac:dyDescent="0.15">
      <c r="C6" t="s">
        <v>141</v>
      </c>
    </row>
    <row r="8" spans="1:23" x14ac:dyDescent="0.15">
      <c r="C8" s="70" t="s">
        <v>4</v>
      </c>
      <c r="D8" s="71" t="s">
        <v>206</v>
      </c>
      <c r="E8" s="71" t="s">
        <v>138</v>
      </c>
      <c r="F8" s="73"/>
      <c r="G8" s="72"/>
      <c r="H8" s="71" t="s">
        <v>139</v>
      </c>
      <c r="I8" s="73"/>
      <c r="J8" s="72"/>
      <c r="K8" s="71" t="s">
        <v>140</v>
      </c>
      <c r="L8" s="73"/>
      <c r="M8" s="72"/>
      <c r="N8" s="93" t="s">
        <v>397</v>
      </c>
      <c r="O8" s="93"/>
      <c r="P8" s="93"/>
      <c r="Q8" s="93"/>
      <c r="R8" s="93"/>
      <c r="S8" s="93"/>
      <c r="T8" s="93"/>
      <c r="U8" s="94"/>
    </row>
    <row r="9" spans="1:23" ht="81" customHeight="1" x14ac:dyDescent="0.15">
      <c r="C9" s="66">
        <v>1</v>
      </c>
      <c r="D9" s="69" t="s">
        <v>99</v>
      </c>
      <c r="E9" s="129" t="s">
        <v>336</v>
      </c>
      <c r="F9" s="130"/>
      <c r="G9" s="131"/>
      <c r="H9" s="81">
        <v>21</v>
      </c>
      <c r="I9" s="82"/>
      <c r="J9" s="83"/>
      <c r="K9" s="81">
        <v>21</v>
      </c>
      <c r="L9" s="67"/>
      <c r="M9" s="63"/>
      <c r="N9" s="129" t="s">
        <v>373</v>
      </c>
      <c r="O9" s="130"/>
      <c r="P9" s="130"/>
      <c r="Q9" s="130"/>
      <c r="R9" s="130"/>
      <c r="S9" s="130"/>
      <c r="T9" s="130"/>
      <c r="U9" s="131"/>
      <c r="W9" s="76"/>
    </row>
    <row r="10" spans="1:23" ht="219.95" customHeight="1" x14ac:dyDescent="0.15">
      <c r="C10" s="66">
        <v>2</v>
      </c>
      <c r="D10" s="69" t="s">
        <v>100</v>
      </c>
      <c r="E10" s="129" t="s">
        <v>337</v>
      </c>
      <c r="F10" s="130"/>
      <c r="G10" s="131"/>
      <c r="H10" s="81">
        <v>21</v>
      </c>
      <c r="I10" s="82"/>
      <c r="J10" s="63"/>
      <c r="K10" s="81">
        <v>21</v>
      </c>
      <c r="L10" s="67"/>
      <c r="M10" s="63"/>
      <c r="N10" s="129" t="s">
        <v>393</v>
      </c>
      <c r="O10" s="130"/>
      <c r="P10" s="130"/>
      <c r="Q10" s="130"/>
      <c r="R10" s="130"/>
      <c r="S10" s="130"/>
      <c r="T10" s="130"/>
      <c r="U10" s="131"/>
      <c r="W10" s="76"/>
    </row>
    <row r="14" spans="1:23" x14ac:dyDescent="0.15">
      <c r="A14" s="74"/>
      <c r="B14" s="75" t="s">
        <v>167</v>
      </c>
    </row>
    <row r="15" spans="1:23" x14ac:dyDescent="0.15">
      <c r="C15" t="s">
        <v>168</v>
      </c>
    </row>
    <row r="16" spans="1:23" x14ac:dyDescent="0.15">
      <c r="C16" t="s">
        <v>141</v>
      </c>
    </row>
    <row r="18" spans="3:23" x14ac:dyDescent="0.15">
      <c r="C18" s="70" t="s">
        <v>4</v>
      </c>
      <c r="D18" s="71" t="s">
        <v>206</v>
      </c>
      <c r="E18" s="71" t="s">
        <v>230</v>
      </c>
      <c r="F18" s="73"/>
      <c r="G18" s="72"/>
      <c r="H18" s="71" t="s">
        <v>178</v>
      </c>
      <c r="I18" s="73"/>
      <c r="J18" s="72"/>
      <c r="K18" s="95" t="s">
        <v>399</v>
      </c>
      <c r="L18" s="93"/>
      <c r="M18" s="93"/>
      <c r="N18" s="93"/>
      <c r="O18" s="93"/>
      <c r="P18" s="93"/>
      <c r="Q18" s="93"/>
      <c r="R18" s="94"/>
      <c r="S18" s="75"/>
      <c r="T18" s="75"/>
      <c r="U18" s="75"/>
    </row>
    <row r="19" spans="3:23" ht="81" customHeight="1" x14ac:dyDescent="0.15">
      <c r="C19" s="66">
        <v>1</v>
      </c>
      <c r="D19" s="69" t="s">
        <v>99</v>
      </c>
      <c r="E19" s="129" t="s">
        <v>369</v>
      </c>
      <c r="F19" s="130"/>
      <c r="G19" s="131"/>
      <c r="H19" s="81">
        <v>21</v>
      </c>
      <c r="I19" s="82"/>
      <c r="J19" s="83"/>
      <c r="K19" s="123" t="s">
        <v>372</v>
      </c>
      <c r="L19" s="124"/>
      <c r="M19" s="124"/>
      <c r="N19" s="124"/>
      <c r="O19" s="124"/>
      <c r="P19" s="124"/>
      <c r="Q19" s="124"/>
      <c r="R19" s="125"/>
      <c r="S19" s="76"/>
      <c r="T19" s="76"/>
      <c r="U19" s="76"/>
      <c r="W19" s="76"/>
    </row>
    <row r="20" spans="3:23" ht="219.95" customHeight="1" x14ac:dyDescent="0.15">
      <c r="C20" s="66">
        <v>2</v>
      </c>
      <c r="D20" s="69" t="s">
        <v>100</v>
      </c>
      <c r="E20" s="129" t="s">
        <v>370</v>
      </c>
      <c r="F20" s="130"/>
      <c r="G20" s="131"/>
      <c r="H20" s="81">
        <v>21</v>
      </c>
      <c r="I20" s="82"/>
      <c r="J20" s="83"/>
      <c r="K20" s="123" t="s">
        <v>394</v>
      </c>
      <c r="L20" s="124"/>
      <c r="M20" s="124"/>
      <c r="N20" s="124"/>
      <c r="O20" s="124"/>
      <c r="P20" s="124"/>
      <c r="Q20" s="124"/>
      <c r="R20" s="125"/>
      <c r="S20" s="76"/>
      <c r="T20" s="76"/>
      <c r="U20" s="76"/>
      <c r="W20" s="76"/>
    </row>
    <row r="23" spans="3:23" x14ac:dyDescent="0.15">
      <c r="C23" t="s">
        <v>46</v>
      </c>
    </row>
  </sheetData>
  <mergeCells count="8">
    <mergeCell ref="E20:G20"/>
    <mergeCell ref="K20:R20"/>
    <mergeCell ref="E9:G9"/>
    <mergeCell ref="N9:U9"/>
    <mergeCell ref="E10:G10"/>
    <mergeCell ref="N10:U10"/>
    <mergeCell ref="E19:G19"/>
    <mergeCell ref="K19:R19"/>
  </mergeCells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1713-2736-4244-B630-36D3A12C38B5}">
  <dimension ref="A1:C57"/>
  <sheetViews>
    <sheetView showGridLines="0" workbookViewId="0"/>
  </sheetViews>
  <sheetFormatPr defaultRowHeight="13.5" x14ac:dyDescent="0.15"/>
  <cols>
    <col min="1" max="2" width="3.625" customWidth="1"/>
  </cols>
  <sheetData>
    <row r="1" spans="1:3" x14ac:dyDescent="0.15">
      <c r="A1" s="75" t="s">
        <v>180</v>
      </c>
    </row>
    <row r="2" spans="1:3" x14ac:dyDescent="0.15">
      <c r="B2" t="s">
        <v>142</v>
      </c>
    </row>
    <row r="3" spans="1:3" x14ac:dyDescent="0.15">
      <c r="B3" t="s">
        <v>143</v>
      </c>
    </row>
    <row r="5" spans="1:3" x14ac:dyDescent="0.15">
      <c r="C5" s="75" t="s">
        <v>144</v>
      </c>
    </row>
    <row r="6" spans="1:3" x14ac:dyDescent="0.15">
      <c r="C6" t="s">
        <v>145</v>
      </c>
    </row>
    <row r="7" spans="1:3" x14ac:dyDescent="0.15">
      <c r="C7" t="s">
        <v>146</v>
      </c>
    </row>
    <row r="9" spans="1:3" x14ac:dyDescent="0.15">
      <c r="C9" t="s">
        <v>147</v>
      </c>
    </row>
    <row r="10" spans="1:3" x14ac:dyDescent="0.15">
      <c r="C10" t="s">
        <v>148</v>
      </c>
    </row>
    <row r="11" spans="1:3" x14ac:dyDescent="0.15">
      <c r="C11" t="s">
        <v>163</v>
      </c>
    </row>
    <row r="12" spans="1:3" x14ac:dyDescent="0.15">
      <c r="C12" t="s">
        <v>150</v>
      </c>
    </row>
    <row r="13" spans="1:3" x14ac:dyDescent="0.15">
      <c r="C13" t="s">
        <v>151</v>
      </c>
    </row>
    <row r="15" spans="1:3" x14ac:dyDescent="0.15">
      <c r="C15" t="s">
        <v>152</v>
      </c>
    </row>
    <row r="16" spans="1:3" x14ac:dyDescent="0.15">
      <c r="C16" t="s">
        <v>153</v>
      </c>
    </row>
    <row r="17" spans="3:3" x14ac:dyDescent="0.15">
      <c r="C17" t="s">
        <v>154</v>
      </c>
    </row>
    <row r="19" spans="3:3" x14ac:dyDescent="0.15">
      <c r="C19" t="s">
        <v>155</v>
      </c>
    </row>
    <row r="21" spans="3:3" x14ac:dyDescent="0.15">
      <c r="C21" s="75" t="s">
        <v>156</v>
      </c>
    </row>
    <row r="22" spans="3:3" x14ac:dyDescent="0.15">
      <c r="C22" t="s">
        <v>157</v>
      </c>
    </row>
    <row r="23" spans="3:3" x14ac:dyDescent="0.15">
      <c r="C23" t="s">
        <v>158</v>
      </c>
    </row>
    <row r="25" spans="3:3" x14ac:dyDescent="0.15">
      <c r="C25" t="s">
        <v>159</v>
      </c>
    </row>
    <row r="26" spans="3:3" x14ac:dyDescent="0.15">
      <c r="C26" t="s">
        <v>148</v>
      </c>
    </row>
    <row r="27" spans="3:3" x14ac:dyDescent="0.15">
      <c r="C27" t="s">
        <v>149</v>
      </c>
    </row>
    <row r="28" spans="3:3" x14ac:dyDescent="0.15">
      <c r="C28" t="s">
        <v>160</v>
      </c>
    </row>
    <row r="29" spans="3:3" x14ac:dyDescent="0.15">
      <c r="C29" t="s">
        <v>161</v>
      </c>
    </row>
    <row r="31" spans="3:3" x14ac:dyDescent="0.15">
      <c r="C31" t="s">
        <v>152</v>
      </c>
    </row>
    <row r="32" spans="3:3" x14ac:dyDescent="0.15">
      <c r="C32" t="s">
        <v>162</v>
      </c>
    </row>
    <row r="36" spans="1:3" x14ac:dyDescent="0.15">
      <c r="A36" s="75" t="s">
        <v>181</v>
      </c>
    </row>
    <row r="37" spans="1:3" x14ac:dyDescent="0.15">
      <c r="B37" t="s">
        <v>182</v>
      </c>
    </row>
    <row r="39" spans="1:3" x14ac:dyDescent="0.15">
      <c r="B39" t="s">
        <v>183</v>
      </c>
    </row>
    <row r="41" spans="1:3" x14ac:dyDescent="0.15">
      <c r="B41" t="s">
        <v>190</v>
      </c>
    </row>
    <row r="42" spans="1:3" x14ac:dyDescent="0.15">
      <c r="B42" t="s">
        <v>191</v>
      </c>
    </row>
    <row r="44" spans="1:3" x14ac:dyDescent="0.15">
      <c r="B44" t="s">
        <v>192</v>
      </c>
    </row>
    <row r="45" spans="1:3" x14ac:dyDescent="0.15">
      <c r="B45" t="s">
        <v>193</v>
      </c>
    </row>
    <row r="47" spans="1:3" x14ac:dyDescent="0.15">
      <c r="C47" s="75" t="s">
        <v>194</v>
      </c>
    </row>
    <row r="49" spans="2:3" x14ac:dyDescent="0.15">
      <c r="B49" t="s">
        <v>195</v>
      </c>
    </row>
    <row r="51" spans="2:3" x14ac:dyDescent="0.15">
      <c r="C51" t="s">
        <v>186</v>
      </c>
    </row>
    <row r="52" spans="2:3" x14ac:dyDescent="0.15">
      <c r="C52" t="s">
        <v>185</v>
      </c>
    </row>
    <row r="53" spans="2:3" x14ac:dyDescent="0.15">
      <c r="C53" t="s">
        <v>184</v>
      </c>
    </row>
    <row r="55" spans="2:3" x14ac:dyDescent="0.15">
      <c r="C55" t="s">
        <v>187</v>
      </c>
    </row>
    <row r="56" spans="2:3" x14ac:dyDescent="0.15">
      <c r="C56" t="s">
        <v>188</v>
      </c>
    </row>
    <row r="57" spans="2:3" x14ac:dyDescent="0.15">
      <c r="C57" t="s">
        <v>189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3</vt:i4>
      </vt:variant>
    </vt:vector>
  </HeadingPairs>
  <TitlesOfParts>
    <vt:vector size="13" baseType="lpstr">
      <vt:lpstr>表紙</vt:lpstr>
      <vt:lpstr>変更履歴</vt:lpstr>
      <vt:lpstr>集計</vt:lpstr>
      <vt:lpstr>1.結合試験</vt:lpstr>
      <vt:lpstr>【別紙1】変換前後の精度差パターン</vt:lpstr>
      <vt:lpstr>【別紙2】変換前の空間IDパターン</vt:lpstr>
      <vt:lpstr>【別紙3】変換後拡張空間IDの重複パターン</vt:lpstr>
      <vt:lpstr>【別紙4】変換後の角に接するパターン</vt:lpstr>
      <vt:lpstr>【別紙5】変換前拡張空間IDの複数入力パターン</vt:lpstr>
      <vt:lpstr>【参考】精度変換時の仕様</vt:lpstr>
      <vt:lpstr>'1.結合試験'!Print_Area</vt:lpstr>
      <vt:lpstr>表紙!Print_Area</vt:lpstr>
      <vt:lpstr>'1.結合試験'!Print_Titles</vt:lpstr>
    </vt:vector>
  </TitlesOfParts>
  <Company>NTTアドバンステクノロジ株式会社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平子 卓弥</dc:creator>
  <cp:lastModifiedBy>藤間 英輔</cp:lastModifiedBy>
  <cp:lastPrinted>2018-07-18T02:26:07Z</cp:lastPrinted>
  <dcterms:created xsi:type="dcterms:W3CDTF">2007-06-29T08:55:04Z</dcterms:created>
  <dcterms:modified xsi:type="dcterms:W3CDTF">2023-01-31T09:10:27Z</dcterms:modified>
</cp:coreProperties>
</file>