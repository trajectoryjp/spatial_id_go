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npc-0004\51_3-1-3share\project\開発\02：NTTATS\空間ID開発\10：ドローン空間情報管理システム開発\60：IT\02：結合試験項目書\"/>
    </mc:Choice>
  </mc:AlternateContent>
  <xr:revisionPtr revIDLastSave="0" documentId="13_ncr:1_{6782134B-9A7B-45BF-BF58-81921DB0F4F6}" xr6:coauthVersionLast="47" xr6:coauthVersionMax="47" xr10:uidLastSave="{00000000-0000-0000-0000-000000000000}"/>
  <bookViews>
    <workbookView xWindow="-120" yWindow="-120" windowWidth="29040" windowHeight="15840" tabRatio="872" activeTab="3" xr2:uid="{00000000-000D-0000-FFFF-FFFF00000000}"/>
  </bookViews>
  <sheets>
    <sheet name="表紙" sheetId="15" r:id="rId1"/>
    <sheet name="変更履歴" sheetId="37" r:id="rId2"/>
    <sheet name="集計" sheetId="35" r:id="rId3"/>
    <sheet name="1.結合試験" sheetId="27" r:id="rId4"/>
    <sheet name="【別紙1】座標入力パターン" sheetId="40" r:id="rId5"/>
    <sheet name="【別紙2】精度入力パターン" sheetId="42" r:id="rId6"/>
    <sheet name="【別紙3】相互変換" sheetId="46" r:id="rId7"/>
    <sheet name="【別紙4】空間ID入力パターン" sheetId="41" r:id="rId8"/>
  </sheets>
  <definedNames>
    <definedName name="_xlnm._FilterDatabase" localSheetId="3" hidden="1">'1.結合試験'!$A$2:$M$102</definedName>
    <definedName name="_xlnm._FilterDatabase" localSheetId="1" hidden="1">#REF!</definedName>
    <definedName name="_xlnm._FilterDatabase" hidden="1">#REF!</definedName>
    <definedName name="HTML_CodePage" hidden="1">1</definedName>
    <definedName name="HTML_Control" localSheetId="1" hidden="1">{"'発注データ送信 確認事項'!$A$1:$D$28"}</definedName>
    <definedName name="HTML_Control" hidden="1">{"'発注データ送信 確認事項'!$A$1:$D$28"}</definedName>
    <definedName name="HTML_Description" hidden="1">""</definedName>
    <definedName name="HTML_Email" hidden="1">""</definedName>
    <definedName name="HTML_Header" hidden="1">"全銀確認事項"</definedName>
    <definedName name="HTML_LastUpdate" hidden="1">"00/03/23"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"C:\MyDocuments\acms.html"</definedName>
    <definedName name="HTML_Title" hidden="1">"全銀確認事項"</definedName>
    <definedName name="Level2ManDays" localSheetId="1">変更履歴!Level2ManDays</definedName>
    <definedName name="Level2ManDays">[0]!Level2ManDays</definedName>
    <definedName name="_xlnm.Print_Area" localSheetId="3">'1.結合試験'!$A$1:$M$103</definedName>
    <definedName name="_xlnm.Print_Area" localSheetId="0">表紙!$A$1:$Z$37</definedName>
    <definedName name="_xlnm.Print_Titles" localSheetId="3">'1.結合試験'!$1:$2</definedName>
    <definedName name="q" localSheetId="1" hidden="1">{"'発注データ送信 確認事項'!$A$1:$D$28"}</definedName>
    <definedName name="q" hidden="1">{"'発注データ送信 確認事項'!$A$1:$D$28"}</definedName>
    <definedName name="Z_D7445B85_74CE_4E1E_92EA_69A1A19161E0_.wvu.PrintArea" localSheetId="0" hidden="1">表紙!$A$1:$Z$29</definedName>
    <definedName name="Z_D81FE437_5A70_4B95_9988_CCF676E08ADD_.wvu.PrintArea" localSheetId="0" hidden="1">表紙!$A$1:$Z$29</definedName>
    <definedName name="Z_FDE9EE51_6A00_4F0D_8742_D96597166ACA_.wvu.PrintArea" localSheetId="0" hidden="1">表紙!$A$1:$Z$29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2" i="27" l="1"/>
  <c r="B7" i="15"/>
  <c r="T67" i="27"/>
  <c r="T68" i="27" s="1"/>
  <c r="T69" i="27" s="1"/>
  <c r="T70" i="27" s="1"/>
  <c r="T71" i="27" s="1"/>
  <c r="T72" i="27" s="1"/>
  <c r="T73" i="27" s="1"/>
  <c r="T74" i="27" s="1"/>
  <c r="T75" i="27" s="1"/>
  <c r="T76" i="27" s="1"/>
  <c r="T77" i="27" s="1"/>
  <c r="T78" i="27" s="1"/>
  <c r="T79" i="27" s="1"/>
  <c r="T80" i="27" s="1"/>
  <c r="T81" i="27" s="1"/>
  <c r="T82" i="27" s="1"/>
  <c r="T83" i="27" s="1"/>
  <c r="T84" i="27" s="1"/>
  <c r="T85" i="27" s="1"/>
  <c r="T86" i="27" s="1"/>
  <c r="T87" i="27" s="1"/>
  <c r="T88" i="27" s="1"/>
  <c r="T89" i="27" s="1"/>
  <c r="T90" i="27" s="1"/>
  <c r="T91" i="27" s="1"/>
  <c r="T92" i="27" s="1"/>
  <c r="T93" i="27" s="1"/>
  <c r="T94" i="27" s="1"/>
  <c r="T95" i="27" s="1"/>
  <c r="T96" i="27" s="1"/>
  <c r="T97" i="27" s="1"/>
  <c r="T98" i="27" s="1"/>
  <c r="T99" i="27" s="1"/>
  <c r="T100" i="27" s="1"/>
  <c r="T101" i="27" s="1"/>
  <c r="T102" i="27" s="1"/>
  <c r="T66" i="27"/>
  <c r="T64" i="27"/>
  <c r="T65" i="27" s="1"/>
  <c r="T58" i="27"/>
  <c r="T59" i="27" s="1"/>
  <c r="T60" i="27" s="1"/>
  <c r="T61" i="27" s="1"/>
  <c r="T62" i="27" s="1"/>
  <c r="T63" i="27" s="1"/>
  <c r="T52" i="27"/>
  <c r="T53" i="27" s="1"/>
  <c r="T54" i="27" s="1"/>
  <c r="T55" i="27" s="1"/>
  <c r="T56" i="27" s="1"/>
  <c r="T57" i="27" s="1"/>
  <c r="T44" i="27"/>
  <c r="T45" i="27" s="1"/>
  <c r="T46" i="27" s="1"/>
  <c r="T47" i="27" s="1"/>
  <c r="T48" i="27" s="1"/>
  <c r="T49" i="27" s="1"/>
  <c r="T50" i="27" s="1"/>
  <c r="T51" i="27" s="1"/>
  <c r="T43" i="27"/>
  <c r="T42" i="27"/>
  <c r="T41" i="27"/>
  <c r="T40" i="27"/>
  <c r="T39" i="27"/>
  <c r="T37" i="27"/>
  <c r="T38" i="27" s="1"/>
  <c r="T35" i="27"/>
  <c r="T36" i="27" s="1"/>
  <c r="T31" i="27"/>
  <c r="T32" i="27" s="1"/>
  <c r="T33" i="27" s="1"/>
  <c r="T34" i="27" s="1"/>
  <c r="T26" i="27"/>
  <c r="T27" i="27" s="1"/>
  <c r="T28" i="27" s="1"/>
  <c r="T29" i="27" s="1"/>
  <c r="T30" i="27" s="1"/>
  <c r="T25" i="27"/>
  <c r="T24" i="27"/>
  <c r="T22" i="27"/>
  <c r="T23" i="27" s="1"/>
  <c r="T16" i="27"/>
  <c r="T17" i="27" s="1"/>
  <c r="T18" i="27" s="1"/>
  <c r="T19" i="27" s="1"/>
  <c r="T20" i="27" s="1"/>
  <c r="T21" i="27" s="1"/>
  <c r="T15" i="27"/>
  <c r="S42" i="27"/>
  <c r="S43" i="27" s="1"/>
  <c r="S44" i="27" s="1"/>
  <c r="S45" i="27" s="1"/>
  <c r="S46" i="27" s="1"/>
  <c r="S47" i="27" s="1"/>
  <c r="S48" i="27" s="1"/>
  <c r="S49" i="27" s="1"/>
  <c r="S50" i="27" s="1"/>
  <c r="S51" i="27" s="1"/>
  <c r="S52" i="27" s="1"/>
  <c r="S53" i="27" s="1"/>
  <c r="S54" i="27" s="1"/>
  <c r="S55" i="27" s="1"/>
  <c r="S56" i="27" s="1"/>
  <c r="S57" i="27" s="1"/>
  <c r="S58" i="27" s="1"/>
  <c r="S59" i="27" s="1"/>
  <c r="S60" i="27" s="1"/>
  <c r="S61" i="27" s="1"/>
  <c r="S62" i="27" s="1"/>
  <c r="S63" i="27" s="1"/>
  <c r="S64" i="27" s="1"/>
  <c r="S65" i="27" s="1"/>
  <c r="S66" i="27" s="1"/>
  <c r="S67" i="27" s="1"/>
  <c r="S68" i="27" s="1"/>
  <c r="S69" i="27" s="1"/>
  <c r="S70" i="27" s="1"/>
  <c r="S71" i="27" s="1"/>
  <c r="S72" i="27" s="1"/>
  <c r="S73" i="27" s="1"/>
  <c r="S74" i="27" s="1"/>
  <c r="S75" i="27" s="1"/>
  <c r="S76" i="27" s="1"/>
  <c r="S77" i="27" s="1"/>
  <c r="S78" i="27" s="1"/>
  <c r="S79" i="27" s="1"/>
  <c r="S80" i="27" s="1"/>
  <c r="S81" i="27" s="1"/>
  <c r="S82" i="27" s="1"/>
  <c r="S83" i="27" s="1"/>
  <c r="S84" i="27" s="1"/>
  <c r="S85" i="27" s="1"/>
  <c r="S86" i="27" s="1"/>
  <c r="S87" i="27" s="1"/>
  <c r="S88" i="27" s="1"/>
  <c r="S89" i="27" s="1"/>
  <c r="S90" i="27" s="1"/>
  <c r="S91" i="27" s="1"/>
  <c r="S92" i="27" s="1"/>
  <c r="S93" i="27" s="1"/>
  <c r="S94" i="27" s="1"/>
  <c r="S95" i="27" s="1"/>
  <c r="S96" i="27" s="1"/>
  <c r="S97" i="27" s="1"/>
  <c r="S98" i="27" s="1"/>
  <c r="S99" i="27" s="1"/>
  <c r="S100" i="27" s="1"/>
  <c r="S101" i="27" s="1"/>
  <c r="S102" i="27" s="1"/>
  <c r="F108" i="27" l="1"/>
  <c r="F107" i="27"/>
  <c r="F106" i="27"/>
  <c r="B20" i="15" l="1"/>
  <c r="A1" i="27" l="1"/>
  <c r="S1" i="27"/>
  <c r="T3" i="27"/>
  <c r="T4" i="27" s="1"/>
  <c r="T5" i="27" s="1"/>
  <c r="T6" i="27" s="1"/>
  <c r="T7" i="27" s="1"/>
  <c r="T8" i="27" s="1"/>
  <c r="T9" i="27" s="1"/>
  <c r="T10" i="27" s="1"/>
  <c r="T11" i="27" s="1"/>
  <c r="T12" i="27" s="1"/>
  <c r="T13" i="27" s="1"/>
  <c r="T14" i="27" s="1"/>
  <c r="S3" i="27"/>
  <c r="S4" i="27" s="1"/>
  <c r="S5" i="27" s="1"/>
  <c r="S6" i="27" s="1"/>
  <c r="S7" i="27" s="1"/>
  <c r="S8" i="27" s="1"/>
  <c r="S9" i="27" s="1"/>
  <c r="S10" i="27" s="1"/>
  <c r="S11" i="27" s="1"/>
  <c r="S12" i="27" s="1"/>
  <c r="S13" i="27" s="1"/>
  <c r="S14" i="27" s="1"/>
  <c r="S15" i="27" s="1"/>
  <c r="S16" i="27" s="1"/>
  <c r="S17" i="27" s="1"/>
  <c r="S18" i="27" s="1"/>
  <c r="S19" i="27" s="1"/>
  <c r="S20" i="27" s="1"/>
  <c r="S21" i="27" s="1"/>
  <c r="S22" i="27" s="1"/>
  <c r="S23" i="27" s="1"/>
  <c r="S24" i="27" s="1"/>
  <c r="S25" i="27" s="1"/>
  <c r="S26" i="27" s="1"/>
  <c r="S27" i="27" s="1"/>
  <c r="S28" i="27" s="1"/>
  <c r="S29" i="27" s="1"/>
  <c r="S30" i="27" s="1"/>
  <c r="S31" i="27" s="1"/>
  <c r="S32" i="27" s="1"/>
  <c r="S33" i="27" s="1"/>
  <c r="S34" i="27" s="1"/>
  <c r="S35" i="27" s="1"/>
  <c r="S36" i="27" s="1"/>
  <c r="S37" i="27" s="1"/>
  <c r="S38" i="27" s="1"/>
  <c r="S39" i="27" s="1"/>
  <c r="S40" i="27" s="1"/>
  <c r="S41" i="27" s="1"/>
  <c r="R3" i="27"/>
  <c r="R4" i="27" s="1"/>
  <c r="R5" i="27" s="1"/>
  <c r="R6" i="27" s="1"/>
  <c r="R7" i="27" s="1"/>
  <c r="R8" i="27" s="1"/>
  <c r="R9" i="27" s="1"/>
  <c r="R10" i="27" s="1"/>
  <c r="R11" i="27" s="1"/>
  <c r="R12" i="27" s="1"/>
  <c r="R13" i="27" s="1"/>
  <c r="R14" i="27" s="1"/>
  <c r="R15" i="27" s="1"/>
  <c r="R16" i="27" s="1"/>
  <c r="R17" i="27" s="1"/>
  <c r="R18" i="27" s="1"/>
  <c r="R19" i="27" s="1"/>
  <c r="R20" i="27" s="1"/>
  <c r="R21" i="27" s="1"/>
  <c r="R22" i="27" s="1"/>
  <c r="R23" i="27" s="1"/>
  <c r="R24" i="27" s="1"/>
  <c r="R25" i="27" s="1"/>
  <c r="R26" i="27" s="1"/>
  <c r="R27" i="27" s="1"/>
  <c r="R28" i="27" s="1"/>
  <c r="R29" i="27" s="1"/>
  <c r="R30" i="27" s="1"/>
  <c r="R31" i="27" s="1"/>
  <c r="R32" i="27" s="1"/>
  <c r="R33" i="27" s="1"/>
  <c r="R34" i="27" s="1"/>
  <c r="R35" i="27" s="1"/>
  <c r="R36" i="27" s="1"/>
  <c r="R37" i="27" s="1"/>
  <c r="R38" i="27" s="1"/>
  <c r="R39" i="27" s="1"/>
  <c r="R40" i="27" s="1"/>
  <c r="R41" i="27" s="1"/>
  <c r="R42" i="27" s="1"/>
  <c r="R43" i="27" s="1"/>
  <c r="R44" i="27" s="1"/>
  <c r="R45" i="27" s="1"/>
  <c r="R46" i="27" s="1"/>
  <c r="R47" i="27" s="1"/>
  <c r="R48" i="27" s="1"/>
  <c r="R49" i="27" s="1"/>
  <c r="R50" i="27" s="1"/>
  <c r="R51" i="27" s="1"/>
  <c r="R52" i="27" s="1"/>
  <c r="R53" i="27" s="1"/>
  <c r="R54" i="27" s="1"/>
  <c r="R55" i="27" s="1"/>
  <c r="R56" i="27" s="1"/>
  <c r="R57" i="27" s="1"/>
  <c r="R58" i="27" s="1"/>
  <c r="R59" i="27" s="1"/>
  <c r="R60" i="27" s="1"/>
  <c r="R61" i="27" s="1"/>
  <c r="R62" i="27" s="1"/>
  <c r="R63" i="27" s="1"/>
  <c r="R64" i="27" s="1"/>
  <c r="R65" i="27" s="1"/>
  <c r="R66" i="27" s="1"/>
  <c r="R67" i="27" s="1"/>
  <c r="R68" i="27" s="1"/>
  <c r="R69" i="27" s="1"/>
  <c r="R70" i="27" s="1"/>
  <c r="R71" i="27" s="1"/>
  <c r="R72" i="27" s="1"/>
  <c r="R73" i="27" s="1"/>
  <c r="R74" i="27" s="1"/>
  <c r="R75" i="27" s="1"/>
  <c r="R76" i="27" s="1"/>
  <c r="R77" i="27" s="1"/>
  <c r="R78" i="27" s="1"/>
  <c r="R79" i="27" s="1"/>
  <c r="R80" i="27" s="1"/>
  <c r="R81" i="27" s="1"/>
  <c r="R82" i="27" s="1"/>
  <c r="R83" i="27" s="1"/>
  <c r="R84" i="27" s="1"/>
  <c r="R85" i="27" s="1"/>
  <c r="R86" i="27" s="1"/>
  <c r="R87" i="27" s="1"/>
  <c r="R88" i="27" s="1"/>
  <c r="R89" i="27" s="1"/>
  <c r="R90" i="27" s="1"/>
  <c r="R91" i="27" s="1"/>
  <c r="R92" i="27" s="1"/>
  <c r="R93" i="27" s="1"/>
  <c r="R94" i="27" s="1"/>
  <c r="R95" i="27" s="1"/>
  <c r="R96" i="27" s="1"/>
  <c r="R97" i="27" s="1"/>
  <c r="R98" i="27" s="1"/>
  <c r="R99" i="27" s="1"/>
  <c r="R100" i="27" s="1"/>
  <c r="R101" i="27" s="1"/>
  <c r="R102" i="27" s="1"/>
  <c r="A101" i="27" l="1"/>
  <c r="A99" i="27"/>
  <c r="A100" i="27"/>
  <c r="A98" i="27"/>
  <c r="A93" i="27"/>
  <c r="A89" i="27"/>
  <c r="A97" i="27"/>
  <c r="A92" i="27"/>
  <c r="A88" i="27"/>
  <c r="A96" i="27"/>
  <c r="A91" i="27"/>
  <c r="A94" i="27"/>
  <c r="A90" i="27"/>
  <c r="A86" i="27"/>
  <c r="A87" i="27"/>
  <c r="A84" i="27"/>
  <c r="A85" i="27"/>
  <c r="A82" i="27"/>
  <c r="A83" i="27"/>
  <c r="A80" i="27"/>
  <c r="A81" i="27"/>
  <c r="A78" i="27"/>
  <c r="A79" i="27"/>
  <c r="A76" i="27"/>
  <c r="A77" i="27"/>
  <c r="A75" i="27"/>
  <c r="A95" i="27"/>
  <c r="A4" i="27"/>
  <c r="M76" i="27" s="1"/>
  <c r="A74" i="27"/>
  <c r="A70" i="27"/>
  <c r="A66" i="27"/>
  <c r="A62" i="27"/>
  <c r="A58" i="27"/>
  <c r="M74" i="27" s="1"/>
  <c r="A54" i="27"/>
  <c r="A50" i="27"/>
  <c r="A46" i="27"/>
  <c r="A42" i="27"/>
  <c r="A38" i="27"/>
  <c r="A34" i="27"/>
  <c r="A30" i="27"/>
  <c r="A26" i="27"/>
  <c r="A22" i="27"/>
  <c r="M23" i="27" s="1"/>
  <c r="A18" i="27"/>
  <c r="A14" i="27"/>
  <c r="A10" i="27"/>
  <c r="A6" i="27"/>
  <c r="M78" i="27" s="1"/>
  <c r="A67" i="27"/>
  <c r="A55" i="27"/>
  <c r="A39" i="27"/>
  <c r="A27" i="27"/>
  <c r="A11" i="27"/>
  <c r="A73" i="27"/>
  <c r="A69" i="27"/>
  <c r="A65" i="27"/>
  <c r="A61" i="27"/>
  <c r="A57" i="27"/>
  <c r="A53" i="27"/>
  <c r="A49" i="27"/>
  <c r="A45" i="27"/>
  <c r="A41" i="27"/>
  <c r="A37" i="27"/>
  <c r="A33" i="27"/>
  <c r="A29" i="27"/>
  <c r="M38" i="27" s="1"/>
  <c r="A25" i="27"/>
  <c r="A21" i="27"/>
  <c r="A17" i="27"/>
  <c r="A13" i="27"/>
  <c r="A9" i="27"/>
  <c r="A5" i="27"/>
  <c r="M77" i="27" s="1"/>
  <c r="A71" i="27"/>
  <c r="A59" i="27"/>
  <c r="A47" i="27"/>
  <c r="A35" i="27"/>
  <c r="A23" i="27"/>
  <c r="A15" i="27"/>
  <c r="A72" i="27"/>
  <c r="A68" i="27"/>
  <c r="A64" i="27"/>
  <c r="M65" i="27" s="1"/>
  <c r="A60" i="27"/>
  <c r="A56" i="27"/>
  <c r="A52" i="27"/>
  <c r="A48" i="27"/>
  <c r="A44" i="27"/>
  <c r="A40" i="27"/>
  <c r="A36" i="27"/>
  <c r="A32" i="27"/>
  <c r="A28" i="27"/>
  <c r="M37" i="27" s="1"/>
  <c r="A24" i="27"/>
  <c r="A20" i="27"/>
  <c r="A16" i="27"/>
  <c r="M41" i="27" s="1"/>
  <c r="A12" i="27"/>
  <c r="A8" i="27"/>
  <c r="M80" i="27" s="1"/>
  <c r="A63" i="27"/>
  <c r="A51" i="27"/>
  <c r="A43" i="27"/>
  <c r="A31" i="27"/>
  <c r="A19" i="27"/>
  <c r="A7" i="27"/>
  <c r="M79" i="27" s="1"/>
  <c r="A3" i="27"/>
  <c r="M75" i="27" s="1"/>
  <c r="M73" i="27" l="1"/>
  <c r="M72" i="27"/>
  <c r="M31" i="27"/>
  <c r="M32" i="27"/>
  <c r="D9" i="35" a="1"/>
  <c r="D11" i="35" a="1"/>
  <c r="D3" i="35" a="1"/>
  <c r="D10" i="35" a="1"/>
  <c r="D11" i="35" l="1"/>
  <c r="D10" i="35"/>
  <c r="D9" i="35"/>
  <c r="D3" i="35"/>
  <c r="D8" i="35" l="1"/>
  <c r="C3" i="35" s="1"/>
  <c r="C4" i="35" s="1"/>
  <c r="D4" i="35"/>
  <c r="E3" i="35" l="1"/>
  <c r="E4" i="3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<sst xmlns="http://schemas.openxmlformats.org/spreadsheetml/2006/main" count="1305" uniqueCount="636">
  <si>
    <t>日時</t>
    <rPh sb="0" eb="2">
      <t>ニチジ</t>
    </rPh>
    <phoneticPr fontId="3"/>
  </si>
  <si>
    <t>版</t>
    <rPh sb="0" eb="1">
      <t>ハン</t>
    </rPh>
    <phoneticPr fontId="3"/>
  </si>
  <si>
    <t>作業者</t>
    <rPh sb="0" eb="3">
      <t>サギョウシャ</t>
    </rPh>
    <phoneticPr fontId="3"/>
  </si>
  <si>
    <t>変更内容</t>
    <rPh sb="0" eb="2">
      <t>ヘンコウ</t>
    </rPh>
    <rPh sb="2" eb="4">
      <t>ナイヨウ</t>
    </rPh>
    <phoneticPr fontId="3"/>
  </si>
  <si>
    <t>No</t>
    <phoneticPr fontId="3"/>
  </si>
  <si>
    <t>大項目</t>
    <rPh sb="0" eb="3">
      <t>ダイコウモク</t>
    </rPh>
    <phoneticPr fontId="3"/>
  </si>
  <si>
    <t>中項目</t>
    <rPh sb="0" eb="1">
      <t>チュウ</t>
    </rPh>
    <rPh sb="1" eb="3">
      <t>コウモク</t>
    </rPh>
    <phoneticPr fontId="3"/>
  </si>
  <si>
    <t>小項目</t>
    <rPh sb="0" eb="3">
      <t>ショウコウモク</t>
    </rPh>
    <phoneticPr fontId="3"/>
  </si>
  <si>
    <t>試験日</t>
    <rPh sb="0" eb="3">
      <t>シケンビ</t>
    </rPh>
    <phoneticPr fontId="3"/>
  </si>
  <si>
    <t>試験者</t>
    <rPh sb="0" eb="2">
      <t>シケン</t>
    </rPh>
    <rPh sb="2" eb="3">
      <t>シャ</t>
    </rPh>
    <phoneticPr fontId="3"/>
  </si>
  <si>
    <t>試験結果</t>
    <rPh sb="0" eb="2">
      <t>シケン</t>
    </rPh>
    <rPh sb="2" eb="4">
      <t>ケッカ</t>
    </rPh>
    <phoneticPr fontId="3"/>
  </si>
  <si>
    <t>全ページ</t>
    <rPh sb="0" eb="1">
      <t>ゼン</t>
    </rPh>
    <phoneticPr fontId="3"/>
  </si>
  <si>
    <t>新規改定</t>
    <rPh sb="0" eb="2">
      <t>シンキ</t>
    </rPh>
    <rPh sb="2" eb="4">
      <t>カイテイ</t>
    </rPh>
    <phoneticPr fontId="3"/>
  </si>
  <si>
    <t>大番号</t>
    <rPh sb="0" eb="3">
      <t>ダイバンゴウ</t>
    </rPh>
    <phoneticPr fontId="3"/>
  </si>
  <si>
    <t>中番号</t>
    <rPh sb="0" eb="1">
      <t>チュウ</t>
    </rPh>
    <rPh sb="1" eb="3">
      <t>バンゴウ</t>
    </rPh>
    <phoneticPr fontId="3"/>
  </si>
  <si>
    <t>小番号</t>
    <rPh sb="0" eb="3">
      <t>ショウバンゴウ</t>
    </rPh>
    <phoneticPr fontId="3"/>
  </si>
  <si>
    <t>シート番号</t>
    <rPh sb="3" eb="5">
      <t>バンゴウ</t>
    </rPh>
    <phoneticPr fontId="3"/>
  </si>
  <si>
    <t>備考</t>
    <rPh sb="0" eb="2">
      <t>ビコウ</t>
    </rPh>
    <phoneticPr fontId="3"/>
  </si>
  <si>
    <t>重複項目</t>
    <rPh sb="0" eb="2">
      <t>チョウフク</t>
    </rPh>
    <rPh sb="2" eb="4">
      <t>コウモク</t>
    </rPh>
    <phoneticPr fontId="3"/>
  </si>
  <si>
    <t>全項目数</t>
    <phoneticPr fontId="3"/>
  </si>
  <si>
    <t>実施済み</t>
    <rPh sb="0" eb="2">
      <t>ジッシ</t>
    </rPh>
    <rPh sb="2" eb="3">
      <t>ズ</t>
    </rPh>
    <phoneticPr fontId="3"/>
  </si>
  <si>
    <t>未実施</t>
    <rPh sb="0" eb="3">
      <t>ミジッシ</t>
    </rPh>
    <phoneticPr fontId="3"/>
  </si>
  <si>
    <t>計</t>
    <rPh sb="0" eb="1">
      <t>ケイ</t>
    </rPh>
    <phoneticPr fontId="3"/>
  </si>
  <si>
    <t>集計</t>
    <rPh sb="0" eb="2">
      <t>シュウケイ</t>
    </rPh>
    <phoneticPr fontId="3"/>
  </si>
  <si>
    <t>試験シート</t>
    <rPh sb="0" eb="2">
      <t>シケン</t>
    </rPh>
    <phoneticPr fontId="3"/>
  </si>
  <si>
    <t>変更箇所</t>
    <rPh sb="0" eb="2">
      <t>ヘンコウ</t>
    </rPh>
    <rPh sb="2" eb="4">
      <t>カショ</t>
    </rPh>
    <phoneticPr fontId="3"/>
  </si>
  <si>
    <t>試験種別</t>
    <rPh sb="0" eb="2">
      <t>シケン</t>
    </rPh>
    <rPh sb="2" eb="4">
      <t>シュベツ</t>
    </rPh>
    <phoneticPr fontId="3"/>
  </si>
  <si>
    <t>試験項目数内訳</t>
    <rPh sb="0" eb="2">
      <t>シケン</t>
    </rPh>
    <rPh sb="2" eb="4">
      <t>コウモク</t>
    </rPh>
    <rPh sb="4" eb="5">
      <t>スウ</t>
    </rPh>
    <rPh sb="5" eb="7">
      <t>ウチワケ</t>
    </rPh>
    <phoneticPr fontId="3"/>
  </si>
  <si>
    <t>全項目数</t>
    <rPh sb="0" eb="1">
      <t>ゼン</t>
    </rPh>
    <rPh sb="1" eb="4">
      <t>コウモクスウ</t>
    </rPh>
    <phoneticPr fontId="3"/>
  </si>
  <si>
    <t>正常</t>
    <phoneticPr fontId="3"/>
  </si>
  <si>
    <t>準正常</t>
    <phoneticPr fontId="3"/>
  </si>
  <si>
    <t>異常</t>
    <rPh sb="0" eb="2">
      <t>イジョウ</t>
    </rPh>
    <phoneticPr fontId="3"/>
  </si>
  <si>
    <t>優先度</t>
    <rPh sb="0" eb="3">
      <t>ユウセンド</t>
    </rPh>
    <phoneticPr fontId="3"/>
  </si>
  <si>
    <t>OK, NG</t>
    <phoneticPr fontId="3"/>
  </si>
  <si>
    <t>α</t>
    <phoneticPr fontId="3"/>
  </si>
  <si>
    <t>準正常</t>
  </si>
  <si>
    <t>正常</t>
  </si>
  <si>
    <t>A</t>
    <phoneticPr fontId="3"/>
  </si>
  <si>
    <t>B</t>
    <phoneticPr fontId="3"/>
  </si>
  <si>
    <t>C</t>
    <phoneticPr fontId="3"/>
  </si>
  <si>
    <t>点群</t>
    <rPh sb="0" eb="2">
      <t>テングン</t>
    </rPh>
    <phoneticPr fontId="3"/>
  </si>
  <si>
    <t>入力パターン種別</t>
    <rPh sb="0" eb="2">
      <t>ニュウリョク</t>
    </rPh>
    <rPh sb="6" eb="8">
      <t>シュベツ</t>
    </rPh>
    <phoneticPr fontId="32"/>
  </si>
  <si>
    <t>入力座標（経度, 緯度, 高さ）</t>
    <rPh sb="0" eb="2">
      <t>ニュウリョク</t>
    </rPh>
    <rPh sb="2" eb="4">
      <t>ザヒョウ</t>
    </rPh>
    <rPh sb="5" eb="7">
      <t>ケイド</t>
    </rPh>
    <rPh sb="9" eb="11">
      <t>イド</t>
    </rPh>
    <rPh sb="13" eb="14">
      <t>タカ</t>
    </rPh>
    <phoneticPr fontId="32"/>
  </si>
  <si>
    <t>期待値</t>
    <rPh sb="0" eb="3">
      <t>キタイアタイ</t>
    </rPh>
    <phoneticPr fontId="32"/>
  </si>
  <si>
    <t>座標閾値内</t>
    <rPh sb="0" eb="5">
      <t>ザヒョウイキチナイ</t>
    </rPh>
    <phoneticPr fontId="32"/>
  </si>
  <si>
    <t>(0.0, 0.0, -1300.0)</t>
    <phoneticPr fontId="32"/>
  </si>
  <si>
    <t>(9, 25)</t>
    <phoneticPr fontId="32"/>
  </si>
  <si>
    <t>9/256/256/25/-1300</t>
    <phoneticPr fontId="32"/>
  </si>
  <si>
    <t>(18, 25)</t>
    <phoneticPr fontId="32"/>
  </si>
  <si>
    <t>(10, 25)</t>
    <phoneticPr fontId="32"/>
  </si>
  <si>
    <t>(24, 25)</t>
    <phoneticPr fontId="32"/>
  </si>
  <si>
    <t>精度閾値内</t>
    <rPh sb="0" eb="2">
      <t>セイド</t>
    </rPh>
    <rPh sb="2" eb="5">
      <t>イキチナイ</t>
    </rPh>
    <phoneticPr fontId="32"/>
  </si>
  <si>
    <t>範囲外の経度緯度を入力する</t>
    <phoneticPr fontId="3"/>
  </si>
  <si>
    <t>緯度に小数点の桁数11桁以上の値を入力する</t>
  </si>
  <si>
    <t>精度閾値を超過した値を入力する</t>
  </si>
  <si>
    <t>座標にnilを入力する</t>
  </si>
  <si>
    <t>確認内容</t>
    <rPh sb="0" eb="4">
      <t>カクニンナイヨウ</t>
    </rPh>
    <phoneticPr fontId="3"/>
  </si>
  <si>
    <t>-</t>
  </si>
  <si>
    <t>正の値</t>
    <rPh sb="0" eb="1">
      <t>セイ</t>
    </rPh>
    <rPh sb="2" eb="3">
      <t>アタイ</t>
    </rPh>
    <phoneticPr fontId="3"/>
  </si>
  <si>
    <t>負の値</t>
    <rPh sb="0" eb="1">
      <t>フ</t>
    </rPh>
    <rPh sb="2" eb="3">
      <t>アタイ</t>
    </rPh>
    <phoneticPr fontId="3"/>
  </si>
  <si>
    <t>経度、緯度に境界値を入力する</t>
  </si>
  <si>
    <t>経度、緯度、高さに0を入力する</t>
  </si>
  <si>
    <t>任意の座標</t>
    <rPh sb="0" eb="2">
      <t>ニンイ</t>
    </rPh>
    <rPh sb="3" eb="5">
      <t>ザヒョウ</t>
    </rPh>
    <phoneticPr fontId="3"/>
  </si>
  <si>
    <t>北半球西側</t>
  </si>
  <si>
    <t>南半球</t>
  </si>
  <si>
    <t>地図上の左上</t>
  </si>
  <si>
    <t>地図上の右下</t>
  </si>
  <si>
    <t>原点</t>
  </si>
  <si>
    <t>経度：180.1</t>
    <rPh sb="0" eb="2">
      <t>ケイド</t>
    </rPh>
    <phoneticPr fontId="3"/>
  </si>
  <si>
    <t>経度：-180.1</t>
    <phoneticPr fontId="3"/>
  </si>
  <si>
    <t>水平精度：36</t>
    <rPh sb="0" eb="4">
      <t>スイヘイセイド</t>
    </rPh>
    <phoneticPr fontId="3"/>
  </si>
  <si>
    <t>水平精度：-1</t>
    <rPh sb="0" eb="4">
      <t>スイヘイセイド</t>
    </rPh>
    <phoneticPr fontId="3"/>
  </si>
  <si>
    <t>垂直精度：36</t>
    <rPh sb="0" eb="2">
      <t>スイチョク</t>
    </rPh>
    <rPh sb="2" eb="4">
      <t>セイド</t>
    </rPh>
    <phoneticPr fontId="3"/>
  </si>
  <si>
    <t>垂直精度：-1</t>
    <rPh sb="0" eb="2">
      <t>スイチョク</t>
    </rPh>
    <rPh sb="2" eb="4">
      <t>セイド</t>
    </rPh>
    <phoneticPr fontId="3"/>
  </si>
  <si>
    <t>水平精度：0 ～　35</t>
    <rPh sb="0" eb="4">
      <t>スイヘイセイド</t>
    </rPh>
    <phoneticPr fontId="3"/>
  </si>
  <si>
    <t>垂直精度：0 ～　35</t>
    <rPh sb="0" eb="2">
      <t>スイチョク</t>
    </rPh>
    <rPh sb="2" eb="4">
      <t>セイド</t>
    </rPh>
    <phoneticPr fontId="3"/>
  </si>
  <si>
    <t>-</t>
    <phoneticPr fontId="3"/>
  </si>
  <si>
    <t>経度：180.0</t>
    <rPh sb="0" eb="2">
      <t>ケイド</t>
    </rPh>
    <phoneticPr fontId="3"/>
  </si>
  <si>
    <t>緯度：85.0511287799</t>
    <rPh sb="0" eb="2">
      <t>イド</t>
    </rPh>
    <phoneticPr fontId="3"/>
  </si>
  <si>
    <t>緯度：-85.0511287799</t>
    <rPh sb="0" eb="2">
      <t>イド</t>
    </rPh>
    <phoneticPr fontId="3"/>
  </si>
  <si>
    <t>緯度：85.0511287798</t>
    <rPh sb="0" eb="2">
      <t>イド</t>
    </rPh>
    <phoneticPr fontId="3"/>
  </si>
  <si>
    <t>緯度：-85.0511287798</t>
    <rPh sb="0" eb="2">
      <t>イド</t>
    </rPh>
    <phoneticPr fontId="3"/>
  </si>
  <si>
    <t>経度：-180.0</t>
    <rPh sb="0" eb="2">
      <t>ケイド</t>
    </rPh>
    <phoneticPr fontId="3"/>
  </si>
  <si>
    <t>経度：0</t>
  </si>
  <si>
    <t>緯度：0</t>
    <rPh sb="0" eb="2">
      <t>イド</t>
    </rPh>
    <phoneticPr fontId="3"/>
  </si>
  <si>
    <t>高さ：0</t>
    <rPh sb="0" eb="1">
      <t>タカ</t>
    </rPh>
    <phoneticPr fontId="3"/>
  </si>
  <si>
    <t>経度、緯度、高さ：0</t>
  </si>
  <si>
    <t>緯度、経度境界値</t>
    <rPh sb="0" eb="2">
      <t>イド</t>
    </rPh>
    <rPh sb="3" eb="5">
      <t>ケイド</t>
    </rPh>
    <rPh sb="5" eb="8">
      <t>キョウカイアタイ</t>
    </rPh>
    <phoneticPr fontId="3"/>
  </si>
  <si>
    <t>緯度：-85.05112877991</t>
    <rPh sb="0" eb="2">
      <t>イド</t>
    </rPh>
    <phoneticPr fontId="3"/>
  </si>
  <si>
    <t>緯度：85.05112877991</t>
    <rPh sb="0" eb="2">
      <t>イド</t>
    </rPh>
    <phoneticPr fontId="3"/>
  </si>
  <si>
    <t>緯度に小数点の桁数10桁の値を入力する</t>
    <phoneticPr fontId="3"/>
  </si>
  <si>
    <t>正の値</t>
    <rPh sb="0" eb="1">
      <t>セイ</t>
    </rPh>
    <rPh sb="2" eb="3">
      <t>アタイ</t>
    </rPh>
    <phoneticPr fontId="3"/>
  </si>
  <si>
    <t>負の値</t>
    <rPh sb="0" eb="1">
      <t>フ</t>
    </rPh>
    <rPh sb="2" eb="3">
      <t>アタイ</t>
    </rPh>
    <phoneticPr fontId="3"/>
  </si>
  <si>
    <t>空間IDから座標への変換</t>
  </si>
  <si>
    <t>不正なoptionが入力される</t>
  </si>
  <si>
    <t>空の文字列が入力される</t>
  </si>
  <si>
    <t>空間IDフォーマット不正の空間IDが入力される</t>
  </si>
  <si>
    <t>-</t>
    <phoneticPr fontId="3"/>
  </si>
  <si>
    <t>利用不可の文字を含む</t>
    <rPh sb="0" eb="4">
      <t>リヨウフカ</t>
    </rPh>
    <rPh sb="5" eb="7">
      <t>モジ</t>
    </rPh>
    <rPh sb="8" eb="9">
      <t>フク</t>
    </rPh>
    <phoneticPr fontId="3"/>
  </si>
  <si>
    <t>水平精度インデクス値無し</t>
    <rPh sb="0" eb="4">
      <t>スイヘイセイド</t>
    </rPh>
    <rPh sb="9" eb="10">
      <t>アタイ</t>
    </rPh>
    <rPh sb="10" eb="11">
      <t>ナ</t>
    </rPh>
    <phoneticPr fontId="3"/>
  </si>
  <si>
    <t>垂直精度インデクス値無し</t>
    <rPh sb="0" eb="2">
      <t>スイチョク</t>
    </rPh>
    <rPh sb="2" eb="4">
      <t>セイド</t>
    </rPh>
    <rPh sb="9" eb="10">
      <t>アタイ</t>
    </rPh>
    <rPh sb="10" eb="11">
      <t>ナ</t>
    </rPh>
    <phoneticPr fontId="3"/>
  </si>
  <si>
    <t>経度インデクス値無し</t>
    <rPh sb="0" eb="2">
      <t>ケイド</t>
    </rPh>
    <rPh sb="7" eb="8">
      <t>アタイ</t>
    </rPh>
    <rPh sb="8" eb="9">
      <t>ナ</t>
    </rPh>
    <phoneticPr fontId="3"/>
  </si>
  <si>
    <t>緯度インデクス値無し</t>
    <rPh sb="0" eb="2">
      <t>イド</t>
    </rPh>
    <rPh sb="7" eb="8">
      <t>アタイ</t>
    </rPh>
    <rPh sb="8" eb="9">
      <t>ナ</t>
    </rPh>
    <phoneticPr fontId="3"/>
  </si>
  <si>
    <t>高さインデクス値無し</t>
    <rPh sb="0" eb="1">
      <t>タカ</t>
    </rPh>
    <rPh sb="7" eb="8">
      <t>アタイ</t>
    </rPh>
    <rPh sb="8" eb="9">
      <t>ナ</t>
    </rPh>
    <phoneticPr fontId="3"/>
  </si>
  <si>
    <t>区切り文字不足： 3個以下</t>
    <rPh sb="0" eb="2">
      <t>クギ</t>
    </rPh>
    <rPh sb="3" eb="7">
      <t>モジフソク</t>
    </rPh>
    <rPh sb="10" eb="13">
      <t>コイカ</t>
    </rPh>
    <phoneticPr fontId="3"/>
  </si>
  <si>
    <t>区切り文字過多： 5個以上</t>
    <rPh sb="0" eb="2">
      <t>クギ</t>
    </rPh>
    <rPh sb="3" eb="5">
      <t>モジ</t>
    </rPh>
    <rPh sb="5" eb="7">
      <t>カタ</t>
    </rPh>
    <rPh sb="10" eb="13">
      <t>コイジョウ</t>
    </rPh>
    <phoneticPr fontId="3"/>
  </si>
  <si>
    <t>座標に正しく変換される</t>
  </si>
  <si>
    <t>空間IDのインデックス値が[2^精度]の境界値を入力</t>
  </si>
  <si>
    <t>水平・垂直精度：36</t>
    <rPh sb="0" eb="2">
      <t>スイヘイ</t>
    </rPh>
    <rPh sb="3" eb="5">
      <t>スイチョク</t>
    </rPh>
    <rPh sb="5" eb="7">
      <t>セイド</t>
    </rPh>
    <phoneticPr fontId="3"/>
  </si>
  <si>
    <t>水平・垂直精度：-1</t>
    <rPh sb="0" eb="2">
      <t>スイヘイ</t>
    </rPh>
    <rPh sb="3" eb="5">
      <t>スイチョク</t>
    </rPh>
    <rPh sb="5" eb="7">
      <t>セイド</t>
    </rPh>
    <phoneticPr fontId="3"/>
  </si>
  <si>
    <t>任意の空間ID</t>
    <rPh sb="0" eb="2">
      <t>ニンイ</t>
    </rPh>
    <rPh sb="3" eb="5">
      <t>クウカン</t>
    </rPh>
    <phoneticPr fontId="3"/>
  </si>
  <si>
    <t>精度を変えても座標が取得できる</t>
    <rPh sb="7" eb="9">
      <t>ザヒョウ</t>
    </rPh>
    <phoneticPr fontId="3"/>
  </si>
  <si>
    <t>水平・垂直精度：36</t>
    <rPh sb="0" eb="2">
      <t>スイヘイ</t>
    </rPh>
    <rPh sb="3" eb="7">
      <t>スイチョクセイド</t>
    </rPh>
    <phoneticPr fontId="3"/>
  </si>
  <si>
    <t>水平・垂直精度：-1</t>
    <rPh sb="0" eb="2">
      <t>スイヘイ</t>
    </rPh>
    <rPh sb="3" eb="7">
      <t>スイチョクセイド</t>
    </rPh>
    <phoneticPr fontId="3"/>
  </si>
  <si>
    <t>経度インデックス</t>
    <rPh sb="0" eb="2">
      <t>ケイド</t>
    </rPh>
    <phoneticPr fontId="3"/>
  </si>
  <si>
    <t>緯度インデックス</t>
    <rPh sb="0" eb="2">
      <t>イド</t>
    </rPh>
    <phoneticPr fontId="3"/>
  </si>
  <si>
    <t>頂点の座標(計８個)が返却される</t>
  </si>
  <si>
    <t>中心点の座標(計1個)が返却される</t>
  </si>
  <si>
    <t>No</t>
    <phoneticPr fontId="3"/>
  </si>
  <si>
    <t>1-1</t>
    <phoneticPr fontId="3"/>
  </si>
  <si>
    <t>1-2</t>
  </si>
  <si>
    <t>1-3</t>
  </si>
  <si>
    <t>1-4</t>
  </si>
  <si>
    <t>1-5</t>
  </si>
  <si>
    <t>2-1</t>
    <phoneticPr fontId="3"/>
  </si>
  <si>
    <t>1-6</t>
  </si>
  <si>
    <t>座標パターン</t>
    <rPh sb="0" eb="2">
      <t>ザヒョウ</t>
    </rPh>
    <phoneticPr fontId="3"/>
  </si>
  <si>
    <t>原点</t>
    <rPh sb="0" eb="2">
      <t>ゲンテン</t>
    </rPh>
    <phoneticPr fontId="3"/>
  </si>
  <si>
    <t>(139.753098, 35.685371, 0.0)</t>
    <phoneticPr fontId="3"/>
  </si>
  <si>
    <t>18/232837/103222/25/0</t>
    <phoneticPr fontId="3"/>
  </si>
  <si>
    <t>9/224/136/25/100</t>
    <phoneticPr fontId="3"/>
  </si>
  <si>
    <t>任意の座標</t>
    <rPh sb="0" eb="2">
      <t>ニンイ</t>
    </rPh>
    <rPh sb="3" eb="5">
      <t>ザヒョウ</t>
    </rPh>
    <phoneticPr fontId="3"/>
  </si>
  <si>
    <t>(24, 25)</t>
  </si>
  <si>
    <t>(-21.942400, 64.147209, 100.0)</t>
    <phoneticPr fontId="3"/>
  </si>
  <si>
    <t>(-58.373490, -34.608510, -1300.0)</t>
    <phoneticPr fontId="3"/>
  </si>
  <si>
    <t>(14, 25)</t>
    <phoneticPr fontId="32"/>
  </si>
  <si>
    <t>14/5535/9872/25/-1300</t>
    <phoneticPr fontId="3"/>
  </si>
  <si>
    <t>北半球西側</t>
    <phoneticPr fontId="3"/>
  </si>
  <si>
    <t>南半球</t>
    <phoneticPr fontId="3"/>
  </si>
  <si>
    <t>地図上の左上</t>
    <phoneticPr fontId="3"/>
  </si>
  <si>
    <t>地図上の右下</t>
    <phoneticPr fontId="3"/>
  </si>
  <si>
    <t>24/0/0/25/-1300</t>
    <phoneticPr fontId="3"/>
  </si>
  <si>
    <t>(179.99999999, -85.05112877, -1300.0)</t>
    <phoneticPr fontId="3"/>
  </si>
  <si>
    <t>10/1023/1023/25/-1300</t>
    <phoneticPr fontId="3"/>
  </si>
  <si>
    <t>経度境界値</t>
    <rPh sb="0" eb="2">
      <t>ケイド</t>
    </rPh>
    <rPh sb="2" eb="5">
      <t>キョウカイアタイ</t>
    </rPh>
    <phoneticPr fontId="3"/>
  </si>
  <si>
    <t>緯度境界値</t>
    <rPh sb="0" eb="5">
      <t>イドキョウカイアタイ</t>
    </rPh>
    <phoneticPr fontId="3"/>
  </si>
  <si>
    <t>経度緯度の境界値</t>
    <rPh sb="0" eb="2">
      <t>ケイド</t>
    </rPh>
    <rPh sb="2" eb="4">
      <t>イド</t>
    </rPh>
    <rPh sb="5" eb="8">
      <t>キョウカイアタイ</t>
    </rPh>
    <phoneticPr fontId="3"/>
  </si>
  <si>
    <t>(-180.0, 85.05112877, -1300.0)</t>
    <phoneticPr fontId="3"/>
  </si>
  <si>
    <t>(10, 35)</t>
    <phoneticPr fontId="3"/>
  </si>
  <si>
    <t>10/0/1023/35/1024</t>
    <phoneticPr fontId="3"/>
  </si>
  <si>
    <t>2-2</t>
  </si>
  <si>
    <t>2-3</t>
  </si>
  <si>
    <t>2-4</t>
  </si>
  <si>
    <t>(26, 10)</t>
    <phoneticPr fontId="3"/>
  </si>
  <si>
    <t>(139.753098, 85.0511287798, 500.0)</t>
    <phoneticPr fontId="3"/>
  </si>
  <si>
    <t>(139.753098, -85.0511287798, 500.0)</t>
    <phoneticPr fontId="3"/>
  </si>
  <si>
    <t>26/59606297/0/10/0</t>
    <phoneticPr fontId="3"/>
  </si>
  <si>
    <t>26/59606297/67108863/10/0</t>
    <phoneticPr fontId="3"/>
  </si>
  <si>
    <t>確認手順</t>
    <rPh sb="0" eb="2">
      <t>カクニン</t>
    </rPh>
    <rPh sb="2" eb="4">
      <t>テジュン</t>
    </rPh>
    <phoneticPr fontId="3"/>
  </si>
  <si>
    <t>「指定範囲の空間ID変換 (点群)」 の試験項目にて、点群の空間ID変換を行う際に入力するパラメータと、変換後の空間ID期待値を以下に記載する。</t>
    <rPh sb="20" eb="24">
      <t>シケンコウモク</t>
    </rPh>
    <rPh sb="27" eb="29">
      <t>テングン</t>
    </rPh>
    <rPh sb="30" eb="32">
      <t>クウカン</t>
    </rPh>
    <rPh sb="34" eb="36">
      <t>ヘンカン</t>
    </rPh>
    <rPh sb="37" eb="38">
      <t>オコナ</t>
    </rPh>
    <rPh sb="39" eb="40">
      <t>サイ</t>
    </rPh>
    <rPh sb="41" eb="43">
      <t>ニュウリョク</t>
    </rPh>
    <rPh sb="52" eb="55">
      <t>ヘンカンゴ</t>
    </rPh>
    <rPh sb="56" eb="58">
      <t>クウカン</t>
    </rPh>
    <rPh sb="60" eb="63">
      <t>キタイアタイ</t>
    </rPh>
    <rPh sb="64" eb="66">
      <t>イカ</t>
    </rPh>
    <rPh sb="67" eb="69">
      <t>キサイ</t>
    </rPh>
    <phoneticPr fontId="3"/>
  </si>
  <si>
    <t>経度緯度境界値</t>
    <rPh sb="0" eb="2">
      <t>ケイド</t>
    </rPh>
    <rPh sb="2" eb="4">
      <t>イド</t>
    </rPh>
    <rPh sb="4" eb="7">
      <t>キョウカイアタイ</t>
    </rPh>
    <phoneticPr fontId="3"/>
  </si>
  <si>
    <t>(-180.0, 85.0511287798, -1300.0)</t>
    <phoneticPr fontId="3"/>
  </si>
  <si>
    <t>(-180.0, 35.685371, -1300.0)</t>
    <phoneticPr fontId="3"/>
  </si>
  <si>
    <t>24/0/6606261/25/-1300</t>
    <phoneticPr fontId="3"/>
  </si>
  <si>
    <t>10/0/620/35/1024</t>
    <phoneticPr fontId="3"/>
  </si>
  <si>
    <t>2-5</t>
  </si>
  <si>
    <t>2-6</t>
  </si>
  <si>
    <t>経度、緯度、高さに0を入力する</t>
    <phoneticPr fontId="3"/>
  </si>
  <si>
    <t>経度、緯度、高さ 0</t>
    <phoneticPr fontId="3"/>
  </si>
  <si>
    <t>緯度0</t>
    <rPh sb="0" eb="2">
      <t>イド</t>
    </rPh>
    <phoneticPr fontId="3"/>
  </si>
  <si>
    <t>経度0</t>
    <rPh sb="0" eb="2">
      <t>ケイド</t>
    </rPh>
    <phoneticPr fontId="3"/>
  </si>
  <si>
    <t>高さ0</t>
    <rPh sb="0" eb="1">
      <t>タカ</t>
    </rPh>
    <phoneticPr fontId="3"/>
  </si>
  <si>
    <t>経度, 緯度, 高さ</t>
    <rPh sb="0" eb="2">
      <t>ケイド</t>
    </rPh>
    <rPh sb="4" eb="6">
      <t>イド</t>
    </rPh>
    <rPh sb="8" eb="9">
      <t>タカ</t>
    </rPh>
    <phoneticPr fontId="3"/>
  </si>
  <si>
    <t>緯度桁数上限</t>
    <rPh sb="0" eb="2">
      <t>イド</t>
    </rPh>
    <rPh sb="2" eb="6">
      <t>ケタスウジョウゲン</t>
    </rPh>
    <phoneticPr fontId="3"/>
  </si>
  <si>
    <t>11桁以上</t>
    <rPh sb="2" eb="5">
      <t>ケタイジョウ</t>
    </rPh>
    <phoneticPr fontId="3"/>
  </si>
  <si>
    <t>1.結合試験</t>
    <rPh sb="2" eb="4">
      <t>ケツゴウ</t>
    </rPh>
    <rPh sb="4" eb="6">
      <t>シケン</t>
    </rPh>
    <phoneticPr fontId="3"/>
  </si>
  <si>
    <t>結合試験項目書</t>
    <rPh sb="0" eb="2">
      <t>ケツゴウ</t>
    </rPh>
    <rPh sb="2" eb="4">
      <t>シケン</t>
    </rPh>
    <rPh sb="4" eb="6">
      <t>コウモク</t>
    </rPh>
    <phoneticPr fontId="3"/>
  </si>
  <si>
    <t>(26, 26)</t>
    <phoneticPr fontId="3"/>
  </si>
  <si>
    <t>26/59606297/26425045/26/0</t>
    <phoneticPr fontId="3"/>
  </si>
  <si>
    <t>-</t>
    <phoneticPr fontId="3"/>
  </si>
  <si>
    <t>(0.0, 0.0, 0.0)</t>
    <phoneticPr fontId="32"/>
  </si>
  <si>
    <t>26/33554432/33554432/26/0</t>
    <phoneticPr fontId="3"/>
  </si>
  <si>
    <t>3-1</t>
    <phoneticPr fontId="3"/>
  </si>
  <si>
    <t>3-2</t>
  </si>
  <si>
    <t>3-3</t>
  </si>
  <si>
    <t>3-4</t>
  </si>
  <si>
    <t>(-21.942400, 64.14720900001, 100.0)</t>
    <phoneticPr fontId="3"/>
  </si>
  <si>
    <t>(-58.373490, -34.60851000001, -1300.0)</t>
    <phoneticPr fontId="3"/>
  </si>
  <si>
    <t>4-1</t>
    <phoneticPr fontId="3"/>
  </si>
  <si>
    <t>4-2</t>
  </si>
  <si>
    <t>4-3</t>
  </si>
  <si>
    <t>4-4</t>
  </si>
  <si>
    <t>10桁</t>
    <rPh sb="2" eb="3">
      <t>ケタ</t>
    </rPh>
    <phoneticPr fontId="3"/>
  </si>
  <si>
    <t>高さに負の値を入力する</t>
    <phoneticPr fontId="3"/>
  </si>
  <si>
    <t>高さが負の値</t>
    <rPh sb="0" eb="1">
      <t>タカ</t>
    </rPh>
    <rPh sb="3" eb="4">
      <t>フ</t>
    </rPh>
    <rPh sb="5" eb="6">
      <t>アタイ</t>
    </rPh>
    <phoneticPr fontId="3"/>
  </si>
  <si>
    <t>5-1</t>
    <phoneticPr fontId="3"/>
  </si>
  <si>
    <t>6-1</t>
    <phoneticPr fontId="3"/>
  </si>
  <si>
    <t>変換後空間ID重複する複数の座標</t>
    <rPh sb="0" eb="3">
      <t>ヘンカンゴ</t>
    </rPh>
    <rPh sb="3" eb="5">
      <t>クウカン</t>
    </rPh>
    <rPh sb="7" eb="9">
      <t>チョウフク</t>
    </rPh>
    <rPh sb="11" eb="13">
      <t>フクスウ</t>
    </rPh>
    <rPh sb="14" eb="16">
      <t>ザヒョウ</t>
    </rPh>
    <phoneticPr fontId="3"/>
  </si>
  <si>
    <t>※期待値についてはPython版の点群APIにて同様の座標、精度を入力して取得した値を記載している。</t>
    <rPh sb="1" eb="4">
      <t>キタイアタイ</t>
    </rPh>
    <rPh sb="15" eb="16">
      <t>ハン</t>
    </rPh>
    <rPh sb="17" eb="19">
      <t>テングン</t>
    </rPh>
    <rPh sb="24" eb="26">
      <t>ドウヨウ</t>
    </rPh>
    <rPh sb="27" eb="29">
      <t>ザヒョウ</t>
    </rPh>
    <rPh sb="30" eb="32">
      <t>セイド</t>
    </rPh>
    <rPh sb="33" eb="35">
      <t>ニュウリョク</t>
    </rPh>
    <rPh sb="37" eb="39">
      <t>シュトク</t>
    </rPh>
    <rPh sb="41" eb="42">
      <t>アタイ</t>
    </rPh>
    <rPh sb="43" eb="45">
      <t>キサイ</t>
    </rPh>
    <phoneticPr fontId="3"/>
  </si>
  <si>
    <t>・以下のspatialIdErrorが返却されること
　- エラーコード：InputValueError
　- エラーメッセージ：入力チェックエラー</t>
    <rPh sb="1" eb="3">
      <t>イカ</t>
    </rPh>
    <rPh sb="19" eb="21">
      <t>ヘンキャク</t>
    </rPh>
    <phoneticPr fontId="3"/>
  </si>
  <si>
    <t>-</t>
    <phoneticPr fontId="3"/>
  </si>
  <si>
    <t>(139.753098, 35.615309, 0.0)
(139.753098, 35.615310, 0.0)
(139.753098, 35.615311, 0.0)
(139.753098, 35.615312, 0.0)
(139.753098, 35.615313, 0.0)
(139.753098, 35.615314, 0.0)
(139.753098, 35.615315, 0.0)
(139.753098, 35.615316, 0.0)</t>
  </si>
  <si>
    <t>(26, 26)</t>
  </si>
  <si>
    <t>26/59606297/26441118/26/0
26/59606297/26441118/26/0
26/59606297/26441118/26/0
26/59606297/26441117/26/0
26/59606297/26441117/26/0
26/59606297/26441117/26/0
26/59606297/26441117/26/0
26/59606297/26441116/26/0</t>
  </si>
  <si>
    <t xml:space="preserve">1. 引数に以下を指定して、object.NewPointを呼び出す。
　lon(経度): 180.1
　lat(緯度): 正常な任意の値
　alt(高さ): 正常な任意の値
</t>
    <rPh sb="3" eb="5">
      <t>ヒキスウ</t>
    </rPh>
    <rPh sb="6" eb="8">
      <t>イカ</t>
    </rPh>
    <rPh sb="9" eb="11">
      <t>シテイ</t>
    </rPh>
    <rPh sb="30" eb="31">
      <t>ヨ</t>
    </rPh>
    <rPh sb="32" eb="33">
      <t>ダ</t>
    </rPh>
    <rPh sb="41" eb="43">
      <t>ケイド</t>
    </rPh>
    <rPh sb="75" eb="76">
      <t>タカ</t>
    </rPh>
    <phoneticPr fontId="3"/>
  </si>
  <si>
    <t xml:space="preserve">1. 引数に以下を指定して、object.NewPointを呼び出す。
　lon(経度): -180.1
　lat(緯度): 正常な任意の値
　alt(高さ): 正常な任意の値
</t>
    <phoneticPr fontId="3"/>
  </si>
  <si>
    <t xml:space="preserve">1. 引数に以下を指定して、object.NewPointを呼び出す。
　lon(経度): 正常な任意の値
　lat(緯度): 85.0511287799
　alt(高さ): 正常な任意の値
</t>
    <phoneticPr fontId="3"/>
  </si>
  <si>
    <t xml:space="preserve">1. 引数に以下を指定して、object.NewPointを呼び出す。
　lon(経度): 正常な任意の値
　lat(緯度): -85.0511287799
　alt(高さ): 正常な任意の値
</t>
    <phoneticPr fontId="3"/>
  </si>
  <si>
    <t xml:space="preserve">1. 引数に以下を指定して、object.NewPointを呼び出す。
　lon(経度): 正常な任意の値
　lat(緯度): 85.05112877991
　alt(高さ): 正常な任意の値
</t>
    <phoneticPr fontId="3"/>
  </si>
  <si>
    <t xml:space="preserve">1. 引数に以下を指定して、object.NewPointを呼び出す。
　lon(経度): 正常な任意の値
　lat(緯度): -85.05112877991
　alt(高さ): 正常な任意の値
</t>
    <phoneticPr fontId="3"/>
  </si>
  <si>
    <t>入力精度(水平, 垂直)</t>
    <rPh sb="0" eb="2">
      <t>ニュウリョク</t>
    </rPh>
    <rPh sb="2" eb="4">
      <t>セイド</t>
    </rPh>
    <rPh sb="5" eb="7">
      <t>スイヘイ</t>
    </rPh>
    <rPh sb="9" eb="11">
      <t>スイチョク</t>
    </rPh>
    <phoneticPr fontId="32"/>
  </si>
  <si>
    <t>(139.753098, 35.685371, 1000.0)</t>
    <phoneticPr fontId="32"/>
  </si>
  <si>
    <t>入力座標については以下の値で固定とする。</t>
    <rPh sb="0" eb="4">
      <t>ニュウリョクザヒョウ</t>
    </rPh>
    <rPh sb="9" eb="11">
      <t>イカ</t>
    </rPh>
    <rPh sb="12" eb="13">
      <t>アタイ</t>
    </rPh>
    <rPh sb="14" eb="16">
      <t>コテイ</t>
    </rPh>
    <phoneticPr fontId="3"/>
  </si>
  <si>
    <t>0/0/0/0/0</t>
  </si>
  <si>
    <t>1/1/0/1/0</t>
  </si>
  <si>
    <t>2/3/1/2/0</t>
  </si>
  <si>
    <t>3/7/3/3/0</t>
  </si>
  <si>
    <t>4/14/6/4/0</t>
  </si>
  <si>
    <t>5/28/12/5/0</t>
  </si>
  <si>
    <t>6/56/25/6/0</t>
  </si>
  <si>
    <t>7/113/50/7/0</t>
  </si>
  <si>
    <t>8/227/100/8/0</t>
  </si>
  <si>
    <t>9/454/201/9/0</t>
  </si>
  <si>
    <t>10/909/403/10/0</t>
  </si>
  <si>
    <t>11/1819/806/11/0</t>
  </si>
  <si>
    <t>12/3638/1612/12/0</t>
  </si>
  <si>
    <t>13/7276/3225/13/0</t>
  </si>
  <si>
    <t>14/14552/6451/14/0</t>
  </si>
  <si>
    <t>15/29104/12902/15/0</t>
  </si>
  <si>
    <t>16/58209/25805/16/1</t>
  </si>
  <si>
    <t>17/116418/51611/17/3</t>
  </si>
  <si>
    <t>18/232837/103222/18/7</t>
  </si>
  <si>
    <t>19/465674/206445/19/15</t>
  </si>
  <si>
    <t>20/931348/412891/20/31</t>
  </si>
  <si>
    <t>21/1862696/825782/21/62</t>
  </si>
  <si>
    <t>22/3725393/1651565/22/125</t>
  </si>
  <si>
    <t>23/7450787/3303130/23/250</t>
  </si>
  <si>
    <t>24/14901574/6606261/24/500</t>
  </si>
  <si>
    <t>25/29803148/13212522/25/1000</t>
  </si>
  <si>
    <t>26/59606297/26425045/26/2000</t>
  </si>
  <si>
    <t>27/119212595/52850091/27/4000</t>
  </si>
  <si>
    <t>28/238425190/105700183/28/8000</t>
  </si>
  <si>
    <t>29/476850381/211400366/29/16000</t>
  </si>
  <si>
    <t>30/953700762/422800732/30/32000</t>
  </si>
  <si>
    <t>31/1907401525/845601464/31/64000</t>
  </si>
  <si>
    <t>32/3814803051/1691202928/32/128000</t>
  </si>
  <si>
    <t>33/7629606103/3382405857/33/256000</t>
  </si>
  <si>
    <t>34/15259212207/6764811715/34/512000</t>
  </si>
  <si>
    <t>35/30518424415/13529623431/35/1024000</t>
  </si>
  <si>
    <t>入力水平/垂直精度</t>
    <rPh sb="0" eb="2">
      <t>ニュウリョク</t>
    </rPh>
    <rPh sb="2" eb="4">
      <t>スイヘイ</t>
    </rPh>
    <rPh sb="5" eb="7">
      <t>スイチョク</t>
    </rPh>
    <rPh sb="7" eb="9">
      <t>セイド</t>
    </rPh>
    <phoneticPr fontId="32"/>
  </si>
  <si>
    <t>・「空間IDから座標への変換」で取得した頂点座標を入力</t>
    <phoneticPr fontId="3"/>
  </si>
  <si>
    <t>頂点座標</t>
    <rPh sb="2" eb="4">
      <t>ザヒョウ</t>
    </rPh>
    <phoneticPr fontId="3"/>
  </si>
  <si>
    <t>空間ID変換時の期待値</t>
    <rPh sb="0" eb="2">
      <t>クウカン</t>
    </rPh>
    <rPh sb="4" eb="6">
      <t>ヘンカン</t>
    </rPh>
    <rPh sb="6" eb="7">
      <t>ジ</t>
    </rPh>
    <rPh sb="8" eb="11">
      <t>キタイアタイ</t>
    </rPh>
    <phoneticPr fontId="3"/>
  </si>
  <si>
    <t>入力時の空間IDと同じID</t>
    <rPh sb="0" eb="2">
      <t>ニュウリョク</t>
    </rPh>
    <rPh sb="2" eb="3">
      <t>ジ</t>
    </rPh>
    <rPh sb="4" eb="6">
      <t>クウカン</t>
    </rPh>
    <rPh sb="9" eb="10">
      <t>オナ</t>
    </rPh>
    <phoneticPr fontId="3"/>
  </si>
  <si>
    <t>経度インデックス+1</t>
    <rPh sb="0" eb="2">
      <t>ケイド</t>
    </rPh>
    <phoneticPr fontId="3"/>
  </si>
  <si>
    <t>経度インデックス, 緯度インデックス+1</t>
    <rPh sb="0" eb="2">
      <t>ケイド</t>
    </rPh>
    <rPh sb="10" eb="12">
      <t>イド</t>
    </rPh>
    <phoneticPr fontId="3"/>
  </si>
  <si>
    <t>緯度インデックス+1</t>
    <rPh sb="0" eb="2">
      <t>イド</t>
    </rPh>
    <phoneticPr fontId="3"/>
  </si>
  <si>
    <t>高さインデックス+1</t>
    <rPh sb="0" eb="1">
      <t>タカ</t>
    </rPh>
    <phoneticPr fontId="3"/>
  </si>
  <si>
    <t>経度インデックス, 高さインデックス+1</t>
    <rPh sb="0" eb="2">
      <t>ケイド</t>
    </rPh>
    <rPh sb="10" eb="11">
      <t>タカ</t>
    </rPh>
    <phoneticPr fontId="3"/>
  </si>
  <si>
    <t>全てのインデックスが+1</t>
    <rPh sb="0" eb="1">
      <t>スベ</t>
    </rPh>
    <phoneticPr fontId="3"/>
  </si>
  <si>
    <t>緯度インデックス, 高さインデックス+1</t>
    <rPh sb="0" eb="2">
      <t>イド</t>
    </rPh>
    <rPh sb="10" eb="11">
      <t>タカ</t>
    </rPh>
    <phoneticPr fontId="3"/>
  </si>
  <si>
    <t>10/5/5/10/10</t>
    <phoneticPr fontId="3"/>
  </si>
  <si>
    <t>10/6/5/10/10</t>
    <phoneticPr fontId="3"/>
  </si>
  <si>
    <t>10/6/6/10/10</t>
    <phoneticPr fontId="3"/>
  </si>
  <si>
    <t>10/5/6/10/10</t>
    <phoneticPr fontId="3"/>
  </si>
  <si>
    <t>10/5/5/10/11</t>
    <phoneticPr fontId="3"/>
  </si>
  <si>
    <t>10/6/5/10/11</t>
    <phoneticPr fontId="3"/>
  </si>
  <si>
    <t>10/6/6/10/11</t>
    <phoneticPr fontId="3"/>
  </si>
  <si>
    <t>10/5/6/10/11</t>
    <phoneticPr fontId="3"/>
  </si>
  <si>
    <t>・入力した座標パターンに対応した期待値が取得できること
・エラーインスタンスが返却されていないこと</t>
    <rPh sb="1" eb="3">
      <t>ニュウリョク</t>
    </rPh>
    <rPh sb="5" eb="7">
      <t>ザヒョウ</t>
    </rPh>
    <rPh sb="12" eb="14">
      <t>タイオウ</t>
    </rPh>
    <rPh sb="16" eb="19">
      <t>キタイアタイ</t>
    </rPh>
    <rPh sb="20" eb="22">
      <t>シュトク</t>
    </rPh>
    <rPh sb="39" eb="41">
      <t>ヘンキャク</t>
    </rPh>
    <phoneticPr fontId="3"/>
  </si>
  <si>
    <t>・手順2実行で取得される空間IDが、手順1で入力したIDと同じであること
・エラーインスタンスが返却されていないこと</t>
    <rPh sb="1" eb="3">
      <t>テジュン</t>
    </rPh>
    <rPh sb="4" eb="6">
      <t>ジッコウ</t>
    </rPh>
    <rPh sb="7" eb="9">
      <t>シュトク</t>
    </rPh>
    <rPh sb="12" eb="14">
      <t>クウカン</t>
    </rPh>
    <rPh sb="18" eb="20">
      <t>テジュン</t>
    </rPh>
    <rPh sb="22" eb="24">
      <t>ニュウリョク</t>
    </rPh>
    <rPh sb="29" eb="30">
      <t>オナ</t>
    </rPh>
    <rPh sb="48" eb="50">
      <t>ヘンキャク</t>
    </rPh>
    <phoneticPr fontId="3"/>
  </si>
  <si>
    <t>「指定範囲の空間ID変換 (点群)」 の試験項目にて、以下のパターンの試験の確認内容について記載する。</t>
    <rPh sb="20" eb="24">
      <t>シケンコウモク</t>
    </rPh>
    <rPh sb="27" eb="29">
      <t>イカ</t>
    </rPh>
    <rPh sb="35" eb="37">
      <t>シケン</t>
    </rPh>
    <rPh sb="38" eb="42">
      <t>カクニンナイヨウ</t>
    </rPh>
    <rPh sb="46" eb="48">
      <t>キサイ</t>
    </rPh>
    <phoneticPr fontId="3"/>
  </si>
  <si>
    <t>試験時は、取得した頂点座標を空間IDに変換した際、以下の対応表と同様の結果となることを確認すること。</t>
    <rPh sb="0" eb="3">
      <t>シケンジ</t>
    </rPh>
    <rPh sb="5" eb="7">
      <t>シュトク</t>
    </rPh>
    <rPh sb="9" eb="13">
      <t>チョウテンザヒョウ</t>
    </rPh>
    <rPh sb="14" eb="16">
      <t>クウカン</t>
    </rPh>
    <rPh sb="19" eb="21">
      <t>ヘンカン</t>
    </rPh>
    <rPh sb="23" eb="24">
      <t>サイ</t>
    </rPh>
    <rPh sb="25" eb="27">
      <t>イカ</t>
    </rPh>
    <rPh sb="28" eb="31">
      <t>タイオウヒョウ</t>
    </rPh>
    <rPh sb="32" eb="34">
      <t>ドウヨウ</t>
    </rPh>
    <rPh sb="35" eb="37">
      <t>ケッカ</t>
    </rPh>
    <rPh sb="43" eb="45">
      <t>カクニン</t>
    </rPh>
    <phoneticPr fontId="3"/>
  </si>
  <si>
    <t>・以下のspatialIdErrorが返却されること
　- エラーコード：OptionFailedError
　- エラーメッセージ：オプション値の指定エラー</t>
    <phoneticPr fontId="3"/>
  </si>
  <si>
    <t>※期待値についてはPython版の点群APIにて同様の空間ID、オプションを入力して取得した値を記載している。</t>
    <rPh sb="1" eb="4">
      <t>キタイアタイ</t>
    </rPh>
    <rPh sb="15" eb="16">
      <t>ハン</t>
    </rPh>
    <rPh sb="17" eb="19">
      <t>テングン</t>
    </rPh>
    <rPh sb="24" eb="26">
      <t>ドウヨウ</t>
    </rPh>
    <rPh sb="27" eb="29">
      <t>クウカン</t>
    </rPh>
    <rPh sb="38" eb="40">
      <t>ニュウリョク</t>
    </rPh>
    <rPh sb="42" eb="44">
      <t>シュトク</t>
    </rPh>
    <rPh sb="46" eb="47">
      <t>アタイ</t>
    </rPh>
    <rPh sb="48" eb="50">
      <t>キサイ</t>
    </rPh>
    <phoneticPr fontId="3"/>
  </si>
  <si>
    <t>空間IDパターン</t>
    <rPh sb="0" eb="2">
      <t>クウカン</t>
    </rPh>
    <phoneticPr fontId="3"/>
  </si>
  <si>
    <t>入力空間ID</t>
    <rPh sb="0" eb="2">
      <t>ニュウリョク</t>
    </rPh>
    <rPh sb="2" eb="4">
      <t>クウカン</t>
    </rPh>
    <phoneticPr fontId="32"/>
  </si>
  <si>
    <t>入力オプション</t>
    <rPh sb="0" eb="2">
      <t>ニュウリョク</t>
    </rPh>
    <phoneticPr fontId="32"/>
  </si>
  <si>
    <t>18/232837/103222/18/32</t>
  </si>
  <si>
    <t>18/232837/103222/18/32</t>
    <phoneticPr fontId="3"/>
  </si>
  <si>
    <t>期待値（経度, 緯度, 高さ）</t>
    <rPh sb="0" eb="3">
      <t>キタイアタイ</t>
    </rPh>
    <rPh sb="4" eb="6">
      <t>ケイド</t>
    </rPh>
    <rPh sb="8" eb="10">
      <t>イド</t>
    </rPh>
    <rPh sb="12" eb="13">
      <t>タカ</t>
    </rPh>
    <phoneticPr fontId="32"/>
  </si>
  <si>
    <t>common.enum.Center</t>
  </si>
  <si>
    <t>common.enum.Center</t>
    <phoneticPr fontId="3"/>
  </si>
  <si>
    <t>原点を含む</t>
    <rPh sb="3" eb="4">
      <t>フク</t>
    </rPh>
    <phoneticPr fontId="3"/>
  </si>
  <si>
    <t>9/224/136/26/852</t>
  </si>
  <si>
    <t>9/224/136/26/852</t>
    <phoneticPr fontId="3"/>
  </si>
  <si>
    <t>14/5535/9872/1/1</t>
    <phoneticPr fontId="3"/>
  </si>
  <si>
    <t>24/0/0/26/852</t>
    <phoneticPr fontId="3"/>
  </si>
  <si>
    <t>10/1023/1023/1/1</t>
    <phoneticPr fontId="3"/>
  </si>
  <si>
    <t>地図上の左上を含む</t>
    <rPh sb="7" eb="8">
      <t>フク</t>
    </rPh>
    <phoneticPr fontId="3"/>
  </si>
  <si>
    <t>地図上の右下を含む</t>
    <rPh sb="7" eb="8">
      <t>フク</t>
    </rPh>
    <phoneticPr fontId="3"/>
  </si>
  <si>
    <t>9/256/256/26/852</t>
    <phoneticPr fontId="3"/>
  </si>
  <si>
    <t>common.enum.Vertex</t>
  </si>
  <si>
    <t>common.enum.Vertex</t>
    <phoneticPr fontId="3"/>
  </si>
  <si>
    <t>◆指定範囲の空間ID変換 (点群)</t>
    <phoneticPr fontId="3"/>
  </si>
  <si>
    <t>◆空間IDから座標への変換</t>
    <phoneticPr fontId="3"/>
  </si>
  <si>
    <t>1/0/0/1/0</t>
  </si>
  <si>
    <t>2/0/0/2/0</t>
  </si>
  <si>
    <t>3/0/0/3/0</t>
  </si>
  <si>
    <t>4/0/0/4/0</t>
  </si>
  <si>
    <t>5/0/0/5/0</t>
  </si>
  <si>
    <t>6/0/0/6/0</t>
  </si>
  <si>
    <t>7/0/0/7/0</t>
  </si>
  <si>
    <t>8/0/0/8/0</t>
  </si>
  <si>
    <t>9/0/0/9/0</t>
  </si>
  <si>
    <t>10/0/0/10/0</t>
  </si>
  <si>
    <t>11/0/0/11/0</t>
  </si>
  <si>
    <t>12/0/0/12/0</t>
  </si>
  <si>
    <t>13/0/0/13/0</t>
  </si>
  <si>
    <t>14/0/0/14/0</t>
  </si>
  <si>
    <t>15/0/0/15/0</t>
  </si>
  <si>
    <t>16/0/0/16/0</t>
  </si>
  <si>
    <t>17/0/0/17/0</t>
  </si>
  <si>
    <t>18/0/0/18/0</t>
  </si>
  <si>
    <t>19/0/0/19/0</t>
  </si>
  <si>
    <t>20/0/0/20/0</t>
  </si>
  <si>
    <t>21/0/0/21/0</t>
  </si>
  <si>
    <t>22/0/0/22/0</t>
  </si>
  <si>
    <t>23/0/0/23/0</t>
  </si>
  <si>
    <t>24/0/0/24/0</t>
  </si>
  <si>
    <t>25/0/0/25/0</t>
  </si>
  <si>
    <t>26/0/0/26/0</t>
  </si>
  <si>
    <t>27/0/0/27/0</t>
  </si>
  <si>
    <t>28/0/0/28/0</t>
  </si>
  <si>
    <t>29/0/0/29/0</t>
  </si>
  <si>
    <t>30/0/0/30/0</t>
  </si>
  <si>
    <t>31/0/0/31/0</t>
  </si>
  <si>
    <t>32/0/0/32/0</t>
  </si>
  <si>
    <t>33/0/0/33/0</t>
  </si>
  <si>
    <t>34/0/0/34/0</t>
  </si>
  <si>
    <t>35/0/0/35/0</t>
  </si>
  <si>
    <t>0/0/0/0/0</t>
    <phoneticPr fontId="3"/>
  </si>
  <si>
    <t>(0.0, 0.0, 16777216.0)</t>
    <phoneticPr fontId="3"/>
  </si>
  <si>
    <t>(-90.0, 42.5255643899, 8388608.0)</t>
  </si>
  <si>
    <t>(-135.0, 75.7821946114, 4194304.0)</t>
  </si>
  <si>
    <t>(-157.5, 82.1112317102, 2097152.0)</t>
  </si>
  <si>
    <t>(-168.75, 83.863706879, 1048576.0)</t>
  </si>
  <si>
    <t>(-174.375, 84.5151941393, 524288.0)</t>
  </si>
  <si>
    <t>(-177.1875, 84.7962449264, 262144.0)</t>
  </si>
  <si>
    <t>(-178.59375, 84.926801252, 131072.0)</t>
  </si>
  <si>
    <t>(-179.296875, 84.9897248546, 65536.0)</t>
  </si>
  <si>
    <t>(-179.6484375, 85.02061448, 32768.0)</t>
  </si>
  <si>
    <t>(-179.82421875, 85.0359182614, 16384.0)</t>
  </si>
  <si>
    <t>(-179.912109375, 85.0435351431, 8192.0)</t>
  </si>
  <si>
    <t>(-179.9560546875, 85.0473348627, 4096.0)</t>
  </si>
  <si>
    <t>(-179.97802734375, 85.049232546, 2048.0)</t>
  </si>
  <si>
    <t>(-179.989013671875, 85.050180844, 1024.0)</t>
  </si>
  <si>
    <t>(-179.9945068359375, 85.0506548571, 512.0)</t>
  </si>
  <si>
    <t>(-179.99725341796875, 85.0508918298, 256.0)</t>
  </si>
  <si>
    <t>(-179.99862670898438, 85.0510103076, 128.0)</t>
  </si>
  <si>
    <t>(-179.9993133544922, 85.0510695444, 64.0)</t>
  </si>
  <si>
    <t>(-179.9996566772461, 85.0510991622, 32.0)</t>
  </si>
  <si>
    <t>(-179.99982833862305, 85.051113971, 16.0)</t>
  </si>
  <si>
    <t>(-179.99991416931152, 85.0511213754, 8.0)</t>
  </si>
  <si>
    <t>(-179.99995708465576, 85.0511250776, 4.0)</t>
  </si>
  <si>
    <t>(-179.99997854232788, 85.0511269287, 2.0)</t>
  </si>
  <si>
    <t>(-179.99998927116394, 85.0511278542, 1.0)</t>
  </si>
  <si>
    <t>(-179.99999463558197, 85.051128317, 0.5)</t>
  </si>
  <si>
    <t>(-179.99999731779099, 85.0511285484, 0.25)</t>
  </si>
  <si>
    <t>(-179.9999986588955, 85.051128664, 0.125)</t>
  </si>
  <si>
    <t>(-179.99999932944775, 85.0511287219, 0.0625)</t>
  </si>
  <si>
    <t>(-179.99999966472387, 85.0511287508, 0.03125)</t>
  </si>
  <si>
    <t>(-179.99999983236194, 85.0511287653, 0.015625)</t>
  </si>
  <si>
    <t>(-179.99999991618097, 85.0511287725, 0.0078125)</t>
  </si>
  <si>
    <t>(-179.99999995809048, 85.0511287761, 0.00390625)</t>
  </si>
  <si>
    <t>(-179.99999997904524, 85.0511287779, 0.001953125)</t>
  </si>
  <si>
    <t>(-179.99999998952262, 85.0511287788, 0.0009765625)</t>
  </si>
  <si>
    <t>(-179.9999999947613, 85.0511287793, 0.00048828125)</t>
  </si>
  <si>
    <t>期待値（経度, 緯度, 高さ）</t>
    <rPh sb="0" eb="3">
      <t>キタイアタイ</t>
    </rPh>
    <phoneticPr fontId="32"/>
  </si>
  <si>
    <t>「空間IDから座標への変換」 の試験項目にて、空間IDの座標変換を行う際に入力するパラメータと、変換後の期待値を以下に記載する。</t>
    <rPh sb="16" eb="20">
      <t>シケンコウモク</t>
    </rPh>
    <rPh sb="23" eb="25">
      <t>クウカン</t>
    </rPh>
    <rPh sb="28" eb="30">
      <t>ザヒョウ</t>
    </rPh>
    <rPh sb="30" eb="32">
      <t>ヘンカン</t>
    </rPh>
    <rPh sb="33" eb="34">
      <t>オコナ</t>
    </rPh>
    <rPh sb="35" eb="36">
      <t>サイ</t>
    </rPh>
    <rPh sb="37" eb="39">
      <t>ニュウリョク</t>
    </rPh>
    <rPh sb="48" eb="51">
      <t>ヘンカンゴ</t>
    </rPh>
    <rPh sb="52" eb="55">
      <t>キタイアタイ</t>
    </rPh>
    <rPh sb="56" eb="58">
      <t>イカ</t>
    </rPh>
    <rPh sb="59" eb="61">
      <t>キサイ</t>
    </rPh>
    <phoneticPr fontId="3"/>
  </si>
  <si>
    <t>入力オプションについては以下の値で固定とする。</t>
    <rPh sb="0" eb="2">
      <t>ニュウリョク</t>
    </rPh>
    <rPh sb="12" eb="14">
      <t>イカ</t>
    </rPh>
    <rPh sb="15" eb="16">
      <t>アタイ</t>
    </rPh>
    <rPh sb="17" eb="19">
      <t>コテイ</t>
    </rPh>
    <phoneticPr fontId="3"/>
  </si>
  <si>
    <t>オプション</t>
    <phoneticPr fontId="3"/>
  </si>
  <si>
    <t>高さインデックスに負の値が設定された空間IDが正しく変換される</t>
    <rPh sb="23" eb="24">
      <t>タダ</t>
    </rPh>
    <rPh sb="26" eb="28">
      <t>ヘンカン</t>
    </rPh>
    <phoneticPr fontId="3"/>
  </si>
  <si>
    <t>10/5/5/10/-5</t>
    <phoneticPr fontId="3"/>
  </si>
  <si>
    <t>3-1</t>
    <phoneticPr fontId="3"/>
  </si>
  <si>
    <t>3-2</t>
    <phoneticPr fontId="3"/>
  </si>
  <si>
    <t>4-1</t>
    <phoneticPr fontId="3"/>
  </si>
  <si>
    <t>空間IDのインデックス値が[2^精度]を超えていても正しく変換される</t>
    <phoneticPr fontId="3"/>
  </si>
  <si>
    <t>4-2</t>
    <phoneticPr fontId="3"/>
  </si>
  <si>
    <t>5-1</t>
    <phoneticPr fontId="3"/>
  </si>
  <si>
    <t>6-1</t>
    <phoneticPr fontId="3"/>
  </si>
  <si>
    <t>10/2048/2048/26/852</t>
    <phoneticPr fontId="3"/>
  </si>
  <si>
    <t>(139.75364685058594, 35.6857446882, 4160)</t>
    <phoneticPr fontId="3"/>
  </si>
  <si>
    <t>(-22.5, 64.1681068979, 426)
(-21.796875, 64.1681068979, 426)
(-21.796875, 63.8600358953, 426)
(-22.5, 63.8600358953, 426)
(-22.5, 64.1681068979, 426.5)
(-21.796875, 64.1681068979, 426.5)
(-21.796875, 63.8600358953, 426.5)
(-22.5, 63.8600358953, 426.5)</t>
    <phoneticPr fontId="3"/>
  </si>
  <si>
    <t>(-58.370361328125, -34.6060840997, 25165824)</t>
    <phoneticPr fontId="3"/>
  </si>
  <si>
    <t>(-180, 85.0511287798, 426)
(-179.99997854232788, 85.0511287798, 426)
(-179.99997854232788, 85.0511269287, 426)
(-180, 85.0511269287, 426)
(-180, 85.0511287798, 426.5)
(-179.99997854232788, 85.0511287798, 426.5)
(-179.99997854232788, 85.0511269287, 426.5)
(-180, 85.0511269287, 426.5)</t>
    <phoneticPr fontId="3"/>
  </si>
  <si>
    <t>(179.6484375, -85.0207077431, 16777216)
(180, -85.0207077431, 16777216)
(180, -85.0511287798, 16777216)
(179.6484375, -85.0511287798, 16777216)
(179.6484375, -85.0207077431, 33554432)
(180, -85.0207077431, 33554432)
(180, -85.0511287798, 33554432)
(179.6484375, -85.0511287798, 33554432)</t>
    <phoneticPr fontId="3"/>
  </si>
  <si>
    <t>(0, 0, 426)
(0.703125, 0, 426)
(0.703125, -0.7031073524, 426)
(0, -0.7031073524, 426)
(0, 0, 426.5)
(0.703125, 0, 426.5)
(0.703125, -0.7031073524, 426.5)
(0, -0.7031073524, 426.5)</t>
    <phoneticPr fontId="3"/>
  </si>
  <si>
    <t>(-178.06640625, 84.8814644094, -147456)</t>
    <phoneticPr fontId="3"/>
  </si>
  <si>
    <t>(-180, -85.0207077431, 426)
(-179.6484375, -85.0207077431, 426)
(-179.6484375, -85.0511287798, 426)
(-180, -85.0511287798, 426)
(-180, -85.0207077431, 426.5)
(-179.6484375, -85.0207077431, 426.5)
(-179.6484375, -85.0511287798, 426.5)
(-180, -85.0511287798, 426.5))</t>
    <phoneticPr fontId="3"/>
  </si>
  <si>
    <t>・入力した空間IDパターンに対応した期待値が取得できること
・エラーインスタンスが返却されていないこと</t>
    <rPh sb="5" eb="7">
      <t>クウカン</t>
    </rPh>
    <phoneticPr fontId="3"/>
  </si>
  <si>
    <t>・入力した空間IDパターンに対応した期待値が取得できること
・エラーインスタンスが返却されていないこと</t>
    <phoneticPr fontId="3"/>
  </si>
  <si>
    <t>・手順2実行で取得される座標群の範囲内に、手順1で入力した座標が含まれていること。
・エラーインスタンスが返却されていないこと</t>
    <rPh sb="12" eb="15">
      <t>ザヒョウグン</t>
    </rPh>
    <rPh sb="16" eb="19">
      <t>ハンイナイ</t>
    </rPh>
    <rPh sb="21" eb="23">
      <t>テジュン</t>
    </rPh>
    <rPh sb="25" eb="27">
      <t>ニュウリョク</t>
    </rPh>
    <rPh sb="29" eb="31">
      <t>ザヒョウ</t>
    </rPh>
    <rPh sb="32" eb="33">
      <t>フク</t>
    </rPh>
    <phoneticPr fontId="3"/>
  </si>
  <si>
    <t>宮原</t>
    <rPh sb="0" eb="2">
      <t>ミヤハラ</t>
    </rPh>
    <phoneticPr fontId="3"/>
  </si>
  <si>
    <t>OK</t>
    <phoneticPr fontId="3"/>
  </si>
  <si>
    <t>UT-001</t>
    <phoneticPr fontId="3"/>
  </si>
  <si>
    <t>宮原</t>
    <rPh sb="0" eb="2">
      <t>ミヤハラ</t>
    </rPh>
    <phoneticPr fontId="3"/>
  </si>
  <si>
    <t>OK</t>
    <phoneticPr fontId="3"/>
  </si>
  <si>
    <t>宮原</t>
    <rPh sb="0" eb="2">
      <t>ミヤハラ</t>
    </rPh>
    <phoneticPr fontId="3"/>
  </si>
  <si>
    <t>OK</t>
    <phoneticPr fontId="3"/>
  </si>
  <si>
    <t>宮原</t>
    <rPh sb="0" eb="2">
      <t>ミヤハラ</t>
    </rPh>
    <phoneticPr fontId="3"/>
  </si>
  <si>
    <t>OK</t>
    <phoneticPr fontId="3"/>
  </si>
  <si>
    <t>go版出力結果{139.753646850586 35.685744688200 4160.000000000000}
py版出力結果(139.75364685058594, 35.6857446882, 4160)
と、経度の値に差分があるが、チケット#1500の回答の通り、小数点11桁の浮動小数点誤差は許容する認識のためOKとする。
→IT-002に起票</t>
    <rPh sb="2" eb="3">
      <t>バン</t>
    </rPh>
    <rPh sb="3" eb="7">
      <t>シュツリョクケッカ</t>
    </rPh>
    <rPh sb="62" eb="63">
      <t>バン</t>
    </rPh>
    <rPh sb="63" eb="65">
      <t>シュツリョク</t>
    </rPh>
    <rPh sb="65" eb="67">
      <t>ケッカ</t>
    </rPh>
    <rPh sb="111" eb="113">
      <t>ケイド</t>
    </rPh>
    <rPh sb="114" eb="115">
      <t>アタイ</t>
    </rPh>
    <rPh sb="116" eb="118">
      <t>サブン</t>
    </rPh>
    <rPh sb="133" eb="135">
      <t>カイトウ</t>
    </rPh>
    <rPh sb="136" eb="137">
      <t>トオ</t>
    </rPh>
    <rPh sb="154" eb="156">
      <t>キョヨウ</t>
    </rPh>
    <rPh sb="158" eb="160">
      <t>ニンシキ</t>
    </rPh>
    <rPh sb="179" eb="181">
      <t>キヒョウ</t>
    </rPh>
    <phoneticPr fontId="3"/>
  </si>
  <si>
    <t>経度の値に差分があるが、チケット#1500の回答の通り、小数点11桁の浮動小数点誤差は許容する認識のためOKとする。
→IT-002</t>
    <rPh sb="0" eb="2">
      <t>ケイド</t>
    </rPh>
    <rPh sb="3" eb="4">
      <t>アタイ</t>
    </rPh>
    <rPh sb="5" eb="7">
      <t>サブン</t>
    </rPh>
    <rPh sb="22" eb="24">
      <t>カイトウ</t>
    </rPh>
    <rPh sb="25" eb="26">
      <t>トオ</t>
    </rPh>
    <rPh sb="43" eb="45">
      <t>キョヨウ</t>
    </rPh>
    <rPh sb="47" eb="49">
      <t>ニンシキ</t>
    </rPh>
    <phoneticPr fontId="3"/>
  </si>
  <si>
    <t>宮原</t>
    <rPh sb="0" eb="2">
      <t>ミヤハラ</t>
    </rPh>
    <phoneticPr fontId="3"/>
  </si>
  <si>
    <t>OK</t>
    <phoneticPr fontId="3"/>
  </si>
  <si>
    <t>宮原</t>
    <rPh sb="0" eb="2">
      <t>ミヤハラ</t>
    </rPh>
    <phoneticPr fontId="3"/>
  </si>
  <si>
    <t>OK</t>
    <phoneticPr fontId="3"/>
  </si>
  <si>
    <t xml:space="preserve">1. 引数に以下を指定して、shape.GetExtendedSpatialIdsOnPointsを呼び出す。
　地理座標リスト: 正常な任意の値
　水平精度: 36
　垂直精度: 正常な任意の値
</t>
    <rPh sb="75" eb="79">
      <t>スイヘイセイド</t>
    </rPh>
    <rPh sb="85" eb="89">
      <t>スイチョクセイド</t>
    </rPh>
    <phoneticPr fontId="3"/>
  </si>
  <si>
    <t xml:space="preserve">1. 引数に以下を指定して、shape.GetExtendedSpatialIdsOnPointsを呼び出す。
　地理座標リスト: 正常な任意の値
　水平精度: -1
　垂直精度: 正常な任意の値
</t>
    <rPh sb="75" eb="79">
      <t>スイヘイセイド</t>
    </rPh>
    <rPh sb="85" eb="89">
      <t>スイチョクセイド</t>
    </rPh>
    <phoneticPr fontId="3"/>
  </si>
  <si>
    <t xml:space="preserve">1. 引数に以下を指定して、shape.GetExtendedSpatialIdsOnPointsを呼び出す。
　地理座標リスト: 正常な任意の値
　水平精度: 正常な任意の値
　垂直精度: 36
</t>
    <rPh sb="75" eb="79">
      <t>スイヘイセイド</t>
    </rPh>
    <rPh sb="90" eb="94">
      <t>スイチョクセイド</t>
    </rPh>
    <phoneticPr fontId="3"/>
  </si>
  <si>
    <t xml:space="preserve">1. 引数に以下を指定して、shape.GetExtendedSpatialIdsOnPointsを呼び出す。
　地理座標リスト: 正常な任意の値
　水平精度: 正常な任意の値
　垂直精度: -1
</t>
    <rPh sb="75" eb="79">
      <t>スイヘイセイド</t>
    </rPh>
    <rPh sb="90" eb="94">
      <t>スイチョクセイド</t>
    </rPh>
    <phoneticPr fontId="3"/>
  </si>
  <si>
    <t xml:space="preserve">1. 引数に以下を指定して、shape.GetExtendedSpatialIdsOnPointsを呼び出す。
　地理座標リスト: 正常な任意の値
　水平精度: 36
　垂直精度: 36
</t>
    <rPh sb="75" eb="79">
      <t>スイヘイセイド</t>
    </rPh>
    <rPh sb="85" eb="89">
      <t>スイチョクセイド</t>
    </rPh>
    <phoneticPr fontId="3"/>
  </si>
  <si>
    <t xml:space="preserve">1. 引数に以下を指定して、shape.GetExtendedSpatialIdsOnPointsを呼び出す。
　地理座標リスト: 正常な任意の値
　水平精度: -1
　垂直精度: -1
</t>
  </si>
  <si>
    <t xml:space="preserve">1. 引数に以下を指定して、shape.GetExtendedSpatialIdsOnPointsを呼び出す。
　地理座標リスト: nil
　水平精度: 正常な任意の値
　垂直精度: 正常な任意の値
</t>
    <rPh sb="71" eb="75">
      <t>スイヘイセイド</t>
    </rPh>
    <rPh sb="86" eb="90">
      <t>スイチョクセイド</t>
    </rPh>
    <phoneticPr fontId="3"/>
  </si>
  <si>
    <t xml:space="preserve">1. 引数に以下を指定して、shape.GetPointOnExtendedSpatialIdを呼び出す。
　空間ID：正常な任意の値
　オプション：common.enum.Center
2. 引数に以下を指定して、shape.GetExtendedSpatialIdsOnPointsを呼び出す。
　地理座標リスト: 手順1で取得した地理座標
　水平精度: 手順1で入力した空間IDの水平精度
　垂直精度: 手順1で入力した空間IDの垂直精度
</t>
    <rPh sb="55" eb="57">
      <t>クウカン</t>
    </rPh>
    <rPh sb="161" eb="163">
      <t>テジュン</t>
    </rPh>
    <rPh sb="165" eb="167">
      <t>シュトク</t>
    </rPh>
    <rPh sb="169" eb="173">
      <t>チリザヒョウ</t>
    </rPh>
    <rPh sb="181" eb="183">
      <t>テジュン</t>
    </rPh>
    <rPh sb="185" eb="187">
      <t>ニュウリョク</t>
    </rPh>
    <rPh sb="189" eb="191">
      <t>クウカン</t>
    </rPh>
    <rPh sb="194" eb="198">
      <t>スイヘイセイド</t>
    </rPh>
    <rPh sb="219" eb="221">
      <t>スイチョク</t>
    </rPh>
    <phoneticPr fontId="3"/>
  </si>
  <si>
    <t xml:space="preserve">1. 引数に以下を指定して、shape.GetPointOnExtendedSpatialIdを呼び出す。
　空間ID：正常な任意の値
　オプション：common.enum.Vertex
2. 引数に以下を指定して、shape.GetExtendedSpatialIdsOnPointsを呼び出す。
　地理座標リスト: 手順1で取得した地理座標8つ
　水平精度: 手順1で入力した空間IDの水平精度
　垂直精度: 手順1で入力した空間IDの垂直精度
</t>
    <rPh sb="55" eb="57">
      <t>クウカン</t>
    </rPh>
    <rPh sb="161" eb="163">
      <t>テジュン</t>
    </rPh>
    <rPh sb="165" eb="167">
      <t>シュトク</t>
    </rPh>
    <rPh sb="169" eb="173">
      <t>チリザヒョウ</t>
    </rPh>
    <rPh sb="183" eb="185">
      <t>テジュン</t>
    </rPh>
    <rPh sb="187" eb="189">
      <t>ニュウリョク</t>
    </rPh>
    <rPh sb="191" eb="193">
      <t>クウカン</t>
    </rPh>
    <rPh sb="196" eb="200">
      <t>スイヘイセイド</t>
    </rPh>
    <rPh sb="221" eb="223">
      <t>スイチョク</t>
    </rPh>
    <phoneticPr fontId="3"/>
  </si>
  <si>
    <t xml:space="preserve">1. 引数に以下を指定して、shape.GetPointOnExtendedSpatialIdを呼び出す。
　空間ID：正常な任意の値
　option： 10
</t>
    <rPh sb="55" eb="57">
      <t>クウカン</t>
    </rPh>
    <rPh sb="60" eb="62">
      <t>セイジョウ</t>
    </rPh>
    <rPh sb="63" eb="65">
      <t>ニンイ</t>
    </rPh>
    <rPh sb="66" eb="67">
      <t>アタイ</t>
    </rPh>
    <phoneticPr fontId="3"/>
  </si>
  <si>
    <t xml:space="preserve">1. 引数に以下を指定して、shape.GetPointOnExtendedSpatialIdを呼び出す。
　空間ID：空文字
　option： common.enum.Center
</t>
    <rPh sb="55" eb="57">
      <t>クウカン</t>
    </rPh>
    <rPh sb="60" eb="63">
      <t>カラモジ</t>
    </rPh>
    <phoneticPr fontId="3"/>
  </si>
  <si>
    <t xml:space="preserve">1. 引数に以下を指定して、shape.GetPointOnExtendedSpatialIdを呼び出す。
　空間ID：10/10/10/10
　option： common.enum.Center
</t>
    <rPh sb="55" eb="57">
      <t>クウカン</t>
    </rPh>
    <phoneticPr fontId="3"/>
  </si>
  <si>
    <t xml:space="preserve">1. 引数に以下を指定して、shape.GetPointOnExtendedSpatialIdを呼び出す。
　空間ID：10/10/10/10/10/10
　option： common.enum.Vertex
</t>
    <rPh sb="55" eb="57">
      <t>クウカン</t>
    </rPh>
    <phoneticPr fontId="3"/>
  </si>
  <si>
    <t xml:space="preserve">1. 引数に以下を指定して、shape.GetPointOnExtendedSpatialIdを呼び出す。
　空間ID：10|10|10|10|10
　option： common.enum.Center
</t>
    <rPh sb="55" eb="57">
      <t>クウカン</t>
    </rPh>
    <phoneticPr fontId="3"/>
  </si>
  <si>
    <t xml:space="preserve">1. 引数に以下を指定して、shape.GetPointOnExtendedSpatialIdを呼び出す。
　空間ID：/10/10/10/10
　option： common.enum.Center
</t>
    <rPh sb="55" eb="57">
      <t>クウカン</t>
    </rPh>
    <phoneticPr fontId="3"/>
  </si>
  <si>
    <t xml:space="preserve">1. 引数に以下を指定して、shape.GetPointOnExtendedSpatialIdを呼び出す。
　空間ID：10/10/10//10
　option： common.enum.Center
</t>
    <rPh sb="55" eb="57">
      <t>クウカン</t>
    </rPh>
    <phoneticPr fontId="3"/>
  </si>
  <si>
    <t xml:space="preserve">1. 引数に以下を指定して、shape.GetPointOnExtendedSpatialIdを呼び出す。
　空間ID：10//10/10/10
　option： common.enum.Center
</t>
    <rPh sb="55" eb="57">
      <t>クウカン</t>
    </rPh>
    <phoneticPr fontId="3"/>
  </si>
  <si>
    <t xml:space="preserve">1. 引数に以下を指定して、shape.GetPointOnExtendedSpatialIdを呼び出す。
　空間ID：10/10//10/10
　option： common.enum.Center
</t>
    <rPh sb="55" eb="57">
      <t>クウカン</t>
    </rPh>
    <phoneticPr fontId="3"/>
  </si>
  <si>
    <t xml:space="preserve">1. 引数に以下を指定して、shape.GetPointOnExtendedSpatialIdを呼び出す。
　空間ID：10/10/10/10/
　option： common.enum.Center
</t>
    <rPh sb="55" eb="57">
      <t>クウカン</t>
    </rPh>
    <phoneticPr fontId="3"/>
  </si>
  <si>
    <t xml:space="preserve">1. 引数に以下を指定して、shape.GetPointOnExtendedSpatialIdを呼び出す。
　空間ID：36/10/10/10/10
　option： common.enum.Center
</t>
    <rPh sb="55" eb="57">
      <t>クウカン</t>
    </rPh>
    <phoneticPr fontId="3"/>
  </si>
  <si>
    <t xml:space="preserve">1. 引数に以下を指定して、shape.GetPointOnExtendedSpatialIdを呼び出す。
　空間ID：-1/10/10/10/10
　option： common.enum.Center
</t>
    <rPh sb="55" eb="57">
      <t>クウカン</t>
    </rPh>
    <phoneticPr fontId="3"/>
  </si>
  <si>
    <t xml:space="preserve">1. 引数に以下を指定して、shape.GetPointOnExtendedSpatialIdを呼び出す。
　空間ID：10/10/10/36/10
　option： common.enum.Center
</t>
    <rPh sb="55" eb="57">
      <t>クウカン</t>
    </rPh>
    <phoneticPr fontId="3"/>
  </si>
  <si>
    <t xml:space="preserve">1. 引数に以下を指定して、shape.GetPointOnExtendedSpatialIdを呼び出す。
　空間ID：10/10/10/-1/10
　option： common.enum.Center
</t>
    <rPh sb="55" eb="57">
      <t>クウカン</t>
    </rPh>
    <phoneticPr fontId="3"/>
  </si>
  <si>
    <t xml:space="preserve">1. 引数に以下を指定して、shape.GetPointOnExtendedSpatialIdを呼び出す。
　空間ID：36/10/10/36/10
　option： common.enum.Center
</t>
    <rPh sb="55" eb="57">
      <t>クウカン</t>
    </rPh>
    <phoneticPr fontId="3"/>
  </si>
  <si>
    <t xml:space="preserve">1. 引数に以下を指定して、shape.GetPointOnExtendedSpatialIdを呼び出す。
　空間ID：-1/10/10/-1/10
　option： common.enum.Center
</t>
    <rPh sb="55" eb="57">
      <t>クウカン</t>
    </rPh>
    <phoneticPr fontId="3"/>
  </si>
  <si>
    <t xml:space="preserve">1. 引数に以下を指定して、shape.GetExtendedSpatialIdsOnPointsを呼び出す。
　地理座標リスト: 正常な任意の値
　水平精度: 正常な任意の値
　垂直精度: 正常な任意の値
2. 引数に以下を指定して、shape.GetPointOnExtendedSpatialIdを呼び出す。
　空間ID：手順1で取得した空間ID
　オプション：common.enum.Vertex
</t>
    <rPh sb="165" eb="167">
      <t>テジュン</t>
    </rPh>
    <rPh sb="169" eb="171">
      <t>シュトク</t>
    </rPh>
    <rPh sb="173" eb="175">
      <t>クウカン</t>
    </rPh>
    <phoneticPr fontId="3"/>
  </si>
  <si>
    <t>座標への変換で取得した8つの頂点座標を空間IDに変換した場合、変換後の空間IDは以下のようになる。</t>
    <rPh sb="0" eb="2">
      <t>ザヒョウ</t>
    </rPh>
    <rPh sb="4" eb="6">
      <t>ヘンカン</t>
    </rPh>
    <rPh sb="7" eb="9">
      <t>シュトク</t>
    </rPh>
    <rPh sb="14" eb="18">
      <t>チョウテンザヒョウ</t>
    </rPh>
    <rPh sb="19" eb="21">
      <t>クウカン</t>
    </rPh>
    <rPh sb="24" eb="26">
      <t>ヘンカン</t>
    </rPh>
    <rPh sb="28" eb="30">
      <t>バアイ</t>
    </rPh>
    <rPh sb="31" eb="34">
      <t>ヘンカンゴ</t>
    </rPh>
    <rPh sb="35" eb="37">
      <t>クウカン</t>
    </rPh>
    <rPh sb="40" eb="42">
      <t>イカ</t>
    </rPh>
    <phoneticPr fontId="3"/>
  </si>
  <si>
    <t>points, _ := GetPointOnExtendedSpatialId("空間ID", common.enum.Vertex)</t>
    <phoneticPr fontId="3"/>
  </si>
  <si>
    <t>※1 関数の戻り値でエラーインスタンスが返却されるため、座標群のみを1度変数に格納し、その後頂点座標を参照する必要あり。</t>
    <rPh sb="3" eb="5">
      <t>カンスウ</t>
    </rPh>
    <rPh sb="6" eb="7">
      <t>モド</t>
    </rPh>
    <rPh sb="8" eb="9">
      <t>アタイ</t>
    </rPh>
    <rPh sb="20" eb="22">
      <t>ヘンキャク</t>
    </rPh>
    <rPh sb="28" eb="31">
      <t>ザヒョウグン</t>
    </rPh>
    <rPh sb="35" eb="36">
      <t>ド</t>
    </rPh>
    <rPh sb="36" eb="38">
      <t>ヘンスウ</t>
    </rPh>
    <rPh sb="39" eb="41">
      <t>カクノウ</t>
    </rPh>
    <rPh sb="45" eb="46">
      <t>ノチ</t>
    </rPh>
    <rPh sb="46" eb="50">
      <t>チョウテンザヒョウ</t>
    </rPh>
    <rPh sb="51" eb="53">
      <t>サンショウ</t>
    </rPh>
    <rPh sb="55" eb="57">
      <t>ヒツヨウ</t>
    </rPh>
    <phoneticPr fontId="3"/>
  </si>
  <si>
    <t>points[0]</t>
  </si>
  <si>
    <t>points[1]</t>
  </si>
  <si>
    <t>points[2]</t>
  </si>
  <si>
    <t>points[3]</t>
  </si>
  <si>
    <t>points[4]</t>
  </si>
  <si>
    <t>points[5]</t>
  </si>
  <si>
    <t>points[6]</t>
  </si>
  <si>
    <t>points[7]</t>
  </si>
  <si>
    <t>座標群取得</t>
    <rPh sb="0" eb="3">
      <t>ザヒョウグン</t>
    </rPh>
    <rPh sb="3" eb="5">
      <t>シュトク</t>
    </rPh>
    <phoneticPr fontId="3"/>
  </si>
  <si>
    <t>試験用の頂点座標群取得は、以下の形式で関数を呼び出して結果を変数に格納する。※1</t>
    <rPh sb="0" eb="3">
      <t>シケンヨウ</t>
    </rPh>
    <rPh sb="4" eb="6">
      <t>チョウテン</t>
    </rPh>
    <rPh sb="6" eb="8">
      <t>ザヒョウ</t>
    </rPh>
    <rPh sb="8" eb="9">
      <t>グン</t>
    </rPh>
    <rPh sb="9" eb="11">
      <t>シュトク</t>
    </rPh>
    <rPh sb="19" eb="21">
      <t>カンスウ</t>
    </rPh>
    <rPh sb="22" eb="23">
      <t>ヨ</t>
    </rPh>
    <rPh sb="24" eb="25">
      <t>ダ</t>
    </rPh>
    <rPh sb="27" eb="29">
      <t>ケッカ</t>
    </rPh>
    <phoneticPr fontId="3"/>
  </si>
  <si>
    <t>座標群取得（試験対象の空間IDを "10/5/5/10/10" とする場合）</t>
    <rPh sb="0" eb="5">
      <t>ザヒョウグンシュトク</t>
    </rPh>
    <rPh sb="6" eb="10">
      <t>シケンタイショウ</t>
    </rPh>
    <rPh sb="11" eb="13">
      <t>クウカン</t>
    </rPh>
    <rPh sb="35" eb="37">
      <t>バアイ</t>
    </rPh>
    <phoneticPr fontId="3"/>
  </si>
  <si>
    <t>points, _ := GetPointOnExtendedSpatialId("10/5/5/10/10", common.enum.Vertex)</t>
    <phoneticPr fontId="3"/>
  </si>
  <si>
    <t>〇実行例</t>
    <rPh sb="1" eb="4">
      <t>ジッコウレイ</t>
    </rPh>
    <phoneticPr fontId="3"/>
  </si>
  <si>
    <t>(180.0, -35.685371, 1.0)</t>
    <phoneticPr fontId="3"/>
  </si>
  <si>
    <t>(180.0, -85.0511287798, 1.0)</t>
    <phoneticPr fontId="3"/>
  </si>
  <si>
    <t>指定範囲の拡張空間ID変換 (点群)</t>
  </si>
  <si>
    <t>「拡張空間IDから座標への変換」で取得した中心座標を入力する</t>
  </si>
  <si>
    <t>「拡張空間IDから座標への変換」で取得した頂点座標を入力する</t>
  </si>
  <si>
    <t>拡張空間IDから座標への変換</t>
  </si>
  <si>
    <t>地球のどの位置でも拡張空間IDが取得できる</t>
  </si>
  <si>
    <t>精度を変えても拡張空間IDが取得できる</t>
  </si>
  <si>
    <t>同じ拡張空間IDに変換される座標を複数入力</t>
    <rPh sb="2" eb="4">
      <t>カクチョウ</t>
    </rPh>
    <phoneticPr fontId="3"/>
  </si>
  <si>
    <t>Python版の「指定範囲の空間ID変換 (点群)」と同一の結果が取得できる</t>
    <phoneticPr fontId="3"/>
  </si>
  <si>
    <t>Python版の「空間IDから座標への変換」と同一の結果が取得できる</t>
    <phoneticPr fontId="3"/>
  </si>
  <si>
    <t>拡張空間IDフォーマット不正の拡張空間IDが入力される</t>
  </si>
  <si>
    <t>高さインデックスに負の値が設定された拡張空間IDが正しく変換される</t>
  </si>
  <si>
    <t>拡張空間IDのインデックス値が[2^精度]の境界値を入力</t>
  </si>
  <si>
    <t>拡張空間IDのインデックス値が[2^精度]を超えていても正しく変換される</t>
  </si>
  <si>
    <t>座標から拡張空間IDへの変換で取得した空間IDを入力する</t>
  </si>
  <si>
    <t>範囲外の経度緯度を入力する</t>
  </si>
  <si>
    <t>経度：-180.1</t>
  </si>
  <si>
    <t>精度：-1</t>
    <rPh sb="0" eb="2">
      <t>セイド</t>
    </rPh>
    <phoneticPr fontId="3"/>
  </si>
  <si>
    <t>精度：36</t>
    <rPh sb="0" eb="2">
      <t>セイド</t>
    </rPh>
    <phoneticPr fontId="3"/>
  </si>
  <si>
    <t>精度インデクス値無し</t>
    <rPh sb="0" eb="2">
      <t>セイド</t>
    </rPh>
    <rPh sb="7" eb="8">
      <t>アタイ</t>
    </rPh>
    <rPh sb="8" eb="9">
      <t>ナ</t>
    </rPh>
    <phoneticPr fontId="3"/>
  </si>
  <si>
    <t>区切り文字不足： 2個以下</t>
    <rPh sb="0" eb="2">
      <t>クギ</t>
    </rPh>
    <rPh sb="3" eb="7">
      <t>モジフソク</t>
    </rPh>
    <rPh sb="10" eb="13">
      <t>コイカ</t>
    </rPh>
    <phoneticPr fontId="3"/>
  </si>
  <si>
    <t>区切り文字過多： 4個以上</t>
    <rPh sb="0" eb="2">
      <t>クギ</t>
    </rPh>
    <rPh sb="3" eb="5">
      <t>モジ</t>
    </rPh>
    <rPh sb="5" eb="7">
      <t>カタ</t>
    </rPh>
    <rPh sb="10" eb="13">
      <t>コイジョウ</t>
    </rPh>
    <phoneticPr fontId="3"/>
  </si>
  <si>
    <t>精度：-1</t>
  </si>
  <si>
    <t>指定範囲の空間ID変換 (点群)</t>
  </si>
  <si>
    <t>精度：0 ～　35</t>
  </si>
  <si>
    <t>「空間IDから座標への変換」で取得した中心座標を入力する</t>
  </si>
  <si>
    <t>「空間IDから座標への変換」で取得した頂点座標を入力する</t>
  </si>
  <si>
    <t>取得した空間IDの成分が、拡張空間ID変換 で取得した場合の結果と等しい</t>
  </si>
  <si>
    <t>精度を変えても座標が取得できる</t>
  </si>
  <si>
    <t>座標から空間IDへの変換で取得した空間IDを入力する</t>
  </si>
  <si>
    <t>取得した座標が、拡張空間IDから座標への変換 で取得した場合の結果と等しい</t>
  </si>
  <si>
    <t xml:space="preserve">1. 引数に以下を指定して、shape.GetSpatialIdsOnPointsを呼び出す。
　地理座標リスト: 正常な任意の値
　精度: 36
</t>
  </si>
  <si>
    <t xml:space="preserve">1. 引数に以下を指定して、shape.GetSpatialIdsOnPointsを呼び出す。
　地理座標リスト: 正常な任意の値
　精度: -1
</t>
    <phoneticPr fontId="3"/>
  </si>
  <si>
    <t>・以下のspatialIdErrorが返却されること
　- エラーコード：InputValueError
　- エラーメッセージ：入力チェックエラー</t>
  </si>
  <si>
    <t xml:space="preserve">1. 引数に以下を指定して、shape.GetSpatialIdsOnPointsを呼び出す。
　地理座標リスト: nil
　精度: 正常な任意の値
</t>
  </si>
  <si>
    <t xml:space="preserve">1. 引数に以下を指定して、shape.GetExtendedSpatialIdsOnPointsを呼び出す。
　"【別紙1】座標入力パターン"シートのNo.1-1の「座標」「精度」
</t>
    <rPh sb="84" eb="86">
      <t>ザヒョウ</t>
    </rPh>
    <rPh sb="88" eb="90">
      <t>セイド</t>
    </rPh>
    <phoneticPr fontId="3"/>
  </si>
  <si>
    <t xml:space="preserve">1. 引数に以下を指定して、shape.GetExtendedSpatialIdsOnPointsを呼び出す。
　"【別紙1】座標入力パターン"シートのNo.1-2の「座標」「精度」
</t>
    <rPh sb="84" eb="86">
      <t>ザヒョウ</t>
    </rPh>
    <rPh sb="88" eb="90">
      <t>セイド</t>
    </rPh>
    <phoneticPr fontId="3"/>
  </si>
  <si>
    <t xml:space="preserve">1. 引数に以下を指定して、shape.GetExtendedSpatialIdsOnPointsを呼び出す。
　"【別紙1】座標入力パターン"シートのNo.1-3の「座標」「精度」
</t>
    <rPh sb="84" eb="86">
      <t>ザヒョウ</t>
    </rPh>
    <rPh sb="88" eb="90">
      <t>セイド</t>
    </rPh>
    <phoneticPr fontId="3"/>
  </si>
  <si>
    <t xml:space="preserve">1. 引数に以下を指定して、shape.GetExtendedSpatialIdsOnPointsを呼び出す。
　"【別紙1】座標入力パターン"シートのNo.1-4の「座標」「精度」
</t>
    <rPh sb="84" eb="86">
      <t>ザヒョウ</t>
    </rPh>
    <rPh sb="88" eb="90">
      <t>セイド</t>
    </rPh>
    <phoneticPr fontId="3"/>
  </si>
  <si>
    <t xml:space="preserve">1. 引数に以下を指定して、shape.GetExtendedSpatialIdsOnPointsを呼び出す。
　"【別紙1】座標入力パターン"シートのNo.1-5の「座標」「精度」
</t>
    <rPh sb="84" eb="86">
      <t>ザヒョウ</t>
    </rPh>
    <rPh sb="88" eb="90">
      <t>セイド</t>
    </rPh>
    <phoneticPr fontId="3"/>
  </si>
  <si>
    <t xml:space="preserve">1. 引数に以下を指定して、shape.GetExtendedSpatialIdsOnPointsを呼び出す。
　"【別紙1】座標入力パターン"シートのNo.1-6の「座標」「精度」
</t>
    <rPh sb="84" eb="86">
      <t>ザヒョウ</t>
    </rPh>
    <rPh sb="88" eb="90">
      <t>セイド</t>
    </rPh>
    <phoneticPr fontId="3"/>
  </si>
  <si>
    <t xml:space="preserve">1. 引数に以下を指定して、shape.GetExtendedSpatialIdsOnPointsを呼び出す。
　"【別紙1】座標入力パターン"シートのNo.2-1の「座標」「精度」
</t>
    <rPh sb="84" eb="86">
      <t>ザヒョウ</t>
    </rPh>
    <rPh sb="88" eb="90">
      <t>セイド</t>
    </rPh>
    <phoneticPr fontId="3"/>
  </si>
  <si>
    <t xml:space="preserve">1. 引数に以下を指定して、shape.GetExtendedSpatialIdsOnPointsを呼び出す。
　"【別紙1】座標入力パターン"シートのNo.2-2の「座標」「精度」
</t>
    <rPh sb="84" eb="86">
      <t>ザヒョウ</t>
    </rPh>
    <rPh sb="88" eb="90">
      <t>セイド</t>
    </rPh>
    <phoneticPr fontId="3"/>
  </si>
  <si>
    <t xml:space="preserve">1. 引数に以下を指定して、shape.GetExtendedSpatialIdsOnPointsを呼び出す。
　"【別紙1】座標入力パターン"シートのNo.2-3の「座標」「精度」
</t>
    <rPh sb="84" eb="86">
      <t>ザヒョウ</t>
    </rPh>
    <rPh sb="88" eb="90">
      <t>セイド</t>
    </rPh>
    <phoneticPr fontId="3"/>
  </si>
  <si>
    <t xml:space="preserve">1. 引数に以下を指定して、shape.GetExtendedSpatialIdsOnPointsを呼び出す。
　"【別紙1】座標入力パターン"シートのNo.2-4の「座標」「精度」
</t>
    <rPh sb="84" eb="86">
      <t>ザヒョウ</t>
    </rPh>
    <rPh sb="88" eb="90">
      <t>セイド</t>
    </rPh>
    <phoneticPr fontId="3"/>
  </si>
  <si>
    <t xml:space="preserve">1. 引数に以下を指定して、shape.GetExtendedSpatialIdsOnPointsを呼び出す。
　"【別紙1】座標入力パターン"シートのNo.2-5, No.2-6の「座標」「精度」
</t>
    <rPh sb="92" eb="94">
      <t>ザヒョウ</t>
    </rPh>
    <rPh sb="96" eb="98">
      <t>セイド</t>
    </rPh>
    <phoneticPr fontId="3"/>
  </si>
  <si>
    <t xml:space="preserve">1. 引数に以下を指定して、shape.GetExtendedSpatialIdsOnPointsを呼び出す。
　"【別紙1】座標入力パターン"シートのNo.3-3の「座標」「精度」
</t>
    <rPh sb="84" eb="86">
      <t>ザヒョウ</t>
    </rPh>
    <rPh sb="88" eb="90">
      <t>セイド</t>
    </rPh>
    <phoneticPr fontId="3"/>
  </si>
  <si>
    <t xml:space="preserve">1. 引数に以下を指定して、shape.GetExtendedSpatialIdsOnPointsを呼び出す。
　"【別紙1】座標入力パターン"シートのNo.3-4の「座標」「精度」
</t>
    <rPh sb="84" eb="86">
      <t>ザヒョウ</t>
    </rPh>
    <rPh sb="88" eb="90">
      <t>セイド</t>
    </rPh>
    <phoneticPr fontId="3"/>
  </si>
  <si>
    <t xml:space="preserve">1. 引数に以下を指定して、shape.GetExtendedSpatialIdsOnPointsを呼び出す。
　"【別紙1】座標入力パターン"シートのNo.4-1の「座標」「精度」
</t>
    <rPh sb="84" eb="86">
      <t>ザヒョウ</t>
    </rPh>
    <rPh sb="88" eb="90">
      <t>セイド</t>
    </rPh>
    <phoneticPr fontId="3"/>
  </si>
  <si>
    <t xml:space="preserve">1. 引数に以下を指定して、shape.GetExtendedSpatialIdsOnPointsを呼び出す。
　"【別紙1】座標入力パターン"シートのNo.4-2の「座標」「精度」
</t>
    <rPh sb="84" eb="86">
      <t>ザヒョウ</t>
    </rPh>
    <rPh sb="88" eb="90">
      <t>セイド</t>
    </rPh>
    <phoneticPr fontId="3"/>
  </si>
  <si>
    <t xml:space="preserve">1. 引数に以下を指定して、shape.GetExtendedSpatialIdsOnPointsを呼び出す。
　"【別紙1】座標入力パターン"シートのNo.5-1の「座標」「精度」
</t>
    <rPh sb="84" eb="86">
      <t>ザヒョウ</t>
    </rPh>
    <rPh sb="88" eb="90">
      <t>セイド</t>
    </rPh>
    <phoneticPr fontId="3"/>
  </si>
  <si>
    <t xml:space="preserve">1. 引数に以下を指定して、shape.GetExtendedSpatialIdsOnPointsを呼び出す。
　"【別紙1】座標入力パターン"シートのNo.6-1の「座標」「精度」
</t>
    <rPh sb="84" eb="86">
      <t>ザヒョウ</t>
    </rPh>
    <rPh sb="88" eb="90">
      <t>セイド</t>
    </rPh>
    <phoneticPr fontId="3"/>
  </si>
  <si>
    <t>1. 引数に以下を指定して、shape.GetExtendedSpatialIdsOnPointsを呼び出す。
　"【別紙2】精度入力パターン"シート"◆指定範囲の拡張空間ID変換 (点群)"の「座標」、「精度」
　※0～35 全ての精度の結果を確認すること。</t>
    <rPh sb="98" eb="100">
      <t>ザヒョウ</t>
    </rPh>
    <rPh sb="103" eb="105">
      <t>セイド</t>
    </rPh>
    <rPh sb="114" eb="115">
      <t>スベ</t>
    </rPh>
    <rPh sb="117" eb="119">
      <t>セイド</t>
    </rPh>
    <rPh sb="120" eb="122">
      <t>ケッカ</t>
    </rPh>
    <rPh sb="123" eb="125">
      <t>カクニン</t>
    </rPh>
    <phoneticPr fontId="3"/>
  </si>
  <si>
    <t>1. 引数に以下を指定して、shape.GetPointOnExtendedSpatialIdを呼び出す。
　"【別紙2】精度入力パターン"シート"◆拡張空間IDから座標への変換"の「空間ID」、「オプション」
　※0～35 全ての精度の結果を確認すること。</t>
    <rPh sb="92" eb="94">
      <t>クウカン</t>
    </rPh>
    <rPh sb="113" eb="114">
      <t>スベ</t>
    </rPh>
    <rPh sb="116" eb="118">
      <t>セイド</t>
    </rPh>
    <rPh sb="119" eb="121">
      <t>ケッカ</t>
    </rPh>
    <rPh sb="122" eb="124">
      <t>カクニン</t>
    </rPh>
    <phoneticPr fontId="3"/>
  </si>
  <si>
    <t xml:space="preserve">1. 引数に以下を指定して、shape.GetPointOnExtendedSpatialIdを呼び出す。
　"【別紙4】空間ID入力パターン"シートのNo.1-1の「空間ID」「オプション」
</t>
    <rPh sb="84" eb="86">
      <t>クウカン</t>
    </rPh>
    <phoneticPr fontId="3"/>
  </si>
  <si>
    <t xml:space="preserve">1. 引数に以下を指定して、shape.GetPointOnExtendedSpatialIdを呼び出す。
　"【別紙4】空間ID入力パターン"シートのNo.1-2の「空間ID」「オプション」
</t>
    <rPh sb="84" eb="86">
      <t>クウカン</t>
    </rPh>
    <phoneticPr fontId="3"/>
  </si>
  <si>
    <t xml:space="preserve">1. 引数に以下を指定して、shape.GetPointOnExtendedSpatialIdを呼び出す。
　"【別紙4】空間ID入力パターン"シートのNo.1-3の「空間ID」「オプション」
</t>
    <rPh sb="84" eb="86">
      <t>クウカン</t>
    </rPh>
    <phoneticPr fontId="3"/>
  </si>
  <si>
    <t xml:space="preserve">1. 引数に以下を指定して、shape.GetPointOnExtendedSpatialIdを呼び出す。
　"【別紙4】空間ID入力パターン"シートのNo.1-4の「空間ID」「オプション」
</t>
    <rPh sb="84" eb="86">
      <t>クウカン</t>
    </rPh>
    <phoneticPr fontId="3"/>
  </si>
  <si>
    <t xml:space="preserve">1. 引数に以下を指定して、shape.GetPointOnExtendedSpatialIdを呼び出す。
　"【別紙4】空間ID入力パターン"シートのNo.1-5の「空間ID」「オプション」
</t>
    <rPh sb="84" eb="86">
      <t>クウカン</t>
    </rPh>
    <phoneticPr fontId="3"/>
  </si>
  <si>
    <t xml:space="preserve">1. 引数に以下を指定して、shape.GetPointOnExtendedSpatialIdを呼び出す。
　"【別紙4】空間ID入力パターン"シートのNo.1-6の「空間ID」「オプション」
</t>
    <rPh sb="84" eb="86">
      <t>クウカン</t>
    </rPh>
    <phoneticPr fontId="3"/>
  </si>
  <si>
    <t xml:space="preserve">1. 引数に以下を指定して、shape.GetPointOnExtendedSpatialIdを呼び出す。
　"【別紙4】空間ID入力パターン"シートのNo.2-1の「空間ID」「オプション」
</t>
    <rPh sb="84" eb="86">
      <t>クウカン</t>
    </rPh>
    <phoneticPr fontId="3"/>
  </si>
  <si>
    <t xml:space="preserve">1. 引数に以下を指定して、shape.GetPointOnExtendedSpatialIdを呼び出す。
　"【別紙4】空間ID入力パターン"シートのNo.3-1の「空間ID」「オプション」
</t>
    <rPh sb="84" eb="86">
      <t>クウカン</t>
    </rPh>
    <phoneticPr fontId="3"/>
  </si>
  <si>
    <t xml:space="preserve">1. 引数に以下を指定して、shape.GetPointOnExtendedSpatialIdを呼び出す。
　"【別紙4】空間ID入力パターン"シートのNo.3-2の「空間ID」「オプション」
</t>
    <rPh sb="84" eb="86">
      <t>クウカン</t>
    </rPh>
    <phoneticPr fontId="3"/>
  </si>
  <si>
    <t xml:space="preserve">1. 引数に以下を指定して、shape.GetPointOnExtendedSpatialIdを呼び出す。
　"【別紙4】空間ID入力パターン"シートのNo.4-1の「空間ID」「オプション」
</t>
    <rPh sb="84" eb="86">
      <t>クウカン</t>
    </rPh>
    <phoneticPr fontId="3"/>
  </si>
  <si>
    <t xml:space="preserve">1. 引数に以下を指定して、shape.GetPointOnExtendedSpatialIdを呼び出す。
　"【別紙4】空間ID入力パターン"シートのNo.4-2の「空間ID」「オプション」
</t>
    <rPh sb="84" eb="86">
      <t>クウカン</t>
    </rPh>
    <phoneticPr fontId="3"/>
  </si>
  <si>
    <t>◆指定範囲の拡張空間ID変換 (点群)</t>
    <rPh sb="6" eb="8">
      <t>カクチョウ</t>
    </rPh>
    <phoneticPr fontId="3"/>
  </si>
  <si>
    <t>◆拡張空間IDから座標への変換</t>
    <rPh sb="1" eb="3">
      <t>カクチョウ</t>
    </rPh>
    <phoneticPr fontId="3"/>
  </si>
  <si>
    <t>「指定範囲の拡張空間ID変換 (点群)」 の試験項目にて、以下のパターンの試験の確認内容について記載する。</t>
    <rPh sb="6" eb="8">
      <t>カクチョウ</t>
    </rPh>
    <rPh sb="22" eb="26">
      <t>シケンコウモク</t>
    </rPh>
    <rPh sb="29" eb="31">
      <t>イカ</t>
    </rPh>
    <rPh sb="37" eb="39">
      <t>シケン</t>
    </rPh>
    <rPh sb="40" eb="44">
      <t>カクニンナイヨウ</t>
    </rPh>
    <rPh sb="48" eb="50">
      <t>キサイ</t>
    </rPh>
    <phoneticPr fontId="3"/>
  </si>
  <si>
    <t>・「拡張空間IDから座標への変換」で取得した頂点座標を入力</t>
    <rPh sb="2" eb="4">
      <t>カクチョウ</t>
    </rPh>
    <phoneticPr fontId="3"/>
  </si>
  <si>
    <t>「指定範囲の拡張空間ID変換 (点群)」 の試験項目にて、点群の空間ID変換を行う際に入力するパラメータと、変換後の空間ID期待値を以下に記載する。</t>
    <rPh sb="6" eb="8">
      <t>カクチョウ</t>
    </rPh>
    <rPh sb="22" eb="26">
      <t>シケンコウモク</t>
    </rPh>
    <rPh sb="29" eb="31">
      <t>テングン</t>
    </rPh>
    <rPh sb="32" eb="34">
      <t>クウカン</t>
    </rPh>
    <rPh sb="36" eb="38">
      <t>ヘンカン</t>
    </rPh>
    <rPh sb="39" eb="40">
      <t>オコナ</t>
    </rPh>
    <rPh sb="41" eb="42">
      <t>サイ</t>
    </rPh>
    <rPh sb="43" eb="45">
      <t>ニュウリョク</t>
    </rPh>
    <rPh sb="54" eb="57">
      <t>ヘンカンゴ</t>
    </rPh>
    <rPh sb="58" eb="60">
      <t>クウカン</t>
    </rPh>
    <rPh sb="62" eb="65">
      <t>キタイアタイ</t>
    </rPh>
    <rPh sb="66" eb="68">
      <t>イカ</t>
    </rPh>
    <rPh sb="69" eb="71">
      <t>キサイ</t>
    </rPh>
    <phoneticPr fontId="3"/>
  </si>
  <si>
    <t>「拡張空間IDから座標への変換」 の試験項目にて、空間IDの座標変換を行う際に入力するパラメータと、変換後の座標の期待値を以下に記載する。</t>
    <rPh sb="1" eb="3">
      <t>カクチョウ</t>
    </rPh>
    <rPh sb="18" eb="22">
      <t>シケンコウモク</t>
    </rPh>
    <rPh sb="25" eb="27">
      <t>クウカン</t>
    </rPh>
    <rPh sb="30" eb="32">
      <t>ザヒョウ</t>
    </rPh>
    <rPh sb="32" eb="34">
      <t>ヘンカン</t>
    </rPh>
    <rPh sb="35" eb="36">
      <t>オコナ</t>
    </rPh>
    <rPh sb="37" eb="38">
      <t>サイ</t>
    </rPh>
    <rPh sb="39" eb="41">
      <t>ニュウリョク</t>
    </rPh>
    <rPh sb="50" eb="53">
      <t>ヘンカンゴ</t>
    </rPh>
    <rPh sb="54" eb="56">
      <t>ザヒョウ</t>
    </rPh>
    <rPh sb="57" eb="60">
      <t>キタイアタイ</t>
    </rPh>
    <rPh sb="61" eb="63">
      <t>イカ</t>
    </rPh>
    <rPh sb="64" eb="66">
      <t>キサイ</t>
    </rPh>
    <phoneticPr fontId="3"/>
  </si>
  <si>
    <t>入力精度</t>
    <rPh sb="0" eb="2">
      <t>ニュウリョク</t>
    </rPh>
    <rPh sb="2" eb="4">
      <t>セイド</t>
    </rPh>
    <phoneticPr fontId="32"/>
  </si>
  <si>
    <t>0/0/0/0</t>
  </si>
  <si>
    <t>1/0/1/0</t>
  </si>
  <si>
    <t>2/0/3/1</t>
  </si>
  <si>
    <t>3/0/7/3</t>
  </si>
  <si>
    <t>4/0/14/6</t>
  </si>
  <si>
    <t>5/0/28/12</t>
  </si>
  <si>
    <t>6/0/56/25</t>
  </si>
  <si>
    <t>7/0/113/50</t>
  </si>
  <si>
    <t>8/0/227/100</t>
  </si>
  <si>
    <t>9/0/454/201</t>
  </si>
  <si>
    <t>10/0/909/403</t>
  </si>
  <si>
    <t>11/0/1819/806</t>
  </si>
  <si>
    <t>12/0/3638/1612</t>
  </si>
  <si>
    <t>13/0/7276/3225</t>
  </si>
  <si>
    <t>14/0/14552/6451</t>
  </si>
  <si>
    <t>15/0/29104/12902</t>
  </si>
  <si>
    <t>16/1/58209/25805</t>
  </si>
  <si>
    <t>17/3/116418/51611</t>
  </si>
  <si>
    <t>18/7/232837/103222</t>
  </si>
  <si>
    <t>19/15/465674/206445</t>
  </si>
  <si>
    <t>20/31/931348/412891</t>
  </si>
  <si>
    <t>21/62/1862696/825782</t>
  </si>
  <si>
    <t>22/125/3725393/1651565</t>
  </si>
  <si>
    <t>23/250/7450787/3303130</t>
  </si>
  <si>
    <t>24/500/14901574/6606261</t>
  </si>
  <si>
    <t>25/1000/29803148/13212522</t>
  </si>
  <si>
    <t>26/2000/59606297/26425045</t>
  </si>
  <si>
    <t>27/4000/119212595/52850091</t>
  </si>
  <si>
    <t>28/8000/238425190/105700183</t>
  </si>
  <si>
    <t>29/16000/476850381/211400366</t>
  </si>
  <si>
    <t>30/32000/953700762/422800732</t>
  </si>
  <si>
    <t>31/64000/1907401525/845601464</t>
  </si>
  <si>
    <t>32/128000/3814803051/1691202928</t>
  </si>
  <si>
    <t>33/256000/7629606103/3382405857</t>
  </si>
  <si>
    <t>34/512000/15259212207/6764811715</t>
  </si>
  <si>
    <t>35/1024000/30518424415/13529623431</t>
  </si>
  <si>
    <t>1/0/0/0</t>
  </si>
  <si>
    <t>2/0/0/0</t>
  </si>
  <si>
    <t>3/0/0/0</t>
  </si>
  <si>
    <t>4/0/0/0</t>
  </si>
  <si>
    <t>5/0/0/0</t>
  </si>
  <si>
    <t>6/0/0/0</t>
  </si>
  <si>
    <t>7/0/0/0</t>
  </si>
  <si>
    <t>8/0/0/0</t>
  </si>
  <si>
    <t>9/0/0/0</t>
  </si>
  <si>
    <t>10/0/0/0</t>
  </si>
  <si>
    <t>11/0/0/0</t>
  </si>
  <si>
    <t>12/0/0/0</t>
  </si>
  <si>
    <t>13/0/0/0</t>
  </si>
  <si>
    <t>14/0/0/0</t>
  </si>
  <si>
    <t>15/0/0/0</t>
  </si>
  <si>
    <t>16/0/0/0</t>
  </si>
  <si>
    <t>17/0/0/0</t>
  </si>
  <si>
    <t>18/0/0/0</t>
  </si>
  <si>
    <t>19/0/0/0</t>
  </si>
  <si>
    <t>20/0/0/0</t>
  </si>
  <si>
    <t>21/0/0/0</t>
  </si>
  <si>
    <t>22/0/0/0</t>
  </si>
  <si>
    <t>23/0/0/0</t>
  </si>
  <si>
    <t>24/0/0/0</t>
  </si>
  <si>
    <t>25/0/0/0</t>
  </si>
  <si>
    <t>26/0/0/0</t>
  </si>
  <si>
    <t>27/0/0/0</t>
  </si>
  <si>
    <t>28/0/0/0</t>
  </si>
  <si>
    <t>29/0/0/0</t>
  </si>
  <si>
    <t>30/0/0/0</t>
  </si>
  <si>
    <t>31/0/0/0</t>
  </si>
  <si>
    <t>32/0/0/0</t>
  </si>
  <si>
    <t>33/0/0/0</t>
  </si>
  <si>
    <t>34/0/0/0</t>
  </si>
  <si>
    <t>35/0/0/0</t>
  </si>
  <si>
    <t>・入力した座標パターンに対応した期待値が取得できること
・エラーインスタンスが返却されていないこと</t>
  </si>
  <si>
    <t>◆指定範囲の拡張空間ID変換 (点群)</t>
    <phoneticPr fontId="3"/>
  </si>
  <si>
    <t>◆指定範囲の空間ID変換 (点群)</t>
    <phoneticPr fontId="3"/>
  </si>
  <si>
    <t>取得した8つの頂点座標を空間IDに変換した際のインデックスの値については、</t>
    <rPh sb="0" eb="2">
      <t>シュトク</t>
    </rPh>
    <rPh sb="21" eb="22">
      <t>サイ</t>
    </rPh>
    <rPh sb="30" eb="31">
      <t>アタイ</t>
    </rPh>
    <phoneticPr fontId="3"/>
  </si>
  <si>
    <t>拡張空間IDの場合と同様の対応になる。</t>
    <rPh sb="0" eb="4">
      <t>カクチョウクウカン</t>
    </rPh>
    <rPh sb="7" eb="9">
      <t>バアイ</t>
    </rPh>
    <rPh sb="10" eb="12">
      <t>ドウヨウ</t>
    </rPh>
    <rPh sb="13" eb="15">
      <t>タイオウ</t>
    </rPh>
    <phoneticPr fontId="3"/>
  </si>
  <si>
    <t>〇実行例</t>
    <rPh sb="1" eb="4">
      <t>ジッコウレイ</t>
    </rPh>
    <phoneticPr fontId="3"/>
  </si>
  <si>
    <t>points, _ := GetPointOnSpatialId("空間ID", common.enum.Vertex)</t>
    <phoneticPr fontId="3"/>
  </si>
  <si>
    <t>座標群取得 （試験対象の空間IDを "10/10/5/5" とする場合）</t>
    <rPh sb="0" eb="3">
      <t>ザヒョウグン</t>
    </rPh>
    <rPh sb="3" eb="5">
      <t>シュトク</t>
    </rPh>
    <phoneticPr fontId="3"/>
  </si>
  <si>
    <t>10/10/5/5</t>
  </si>
  <si>
    <t>10/10/6/5</t>
  </si>
  <si>
    <t>10/10/6/6</t>
  </si>
  <si>
    <t>10/10/5/6</t>
  </si>
  <si>
    <t>10/11/5/5</t>
  </si>
  <si>
    <t>10/11/6/5</t>
  </si>
  <si>
    <t>10/11/6/6</t>
  </si>
  <si>
    <t>10/11/5/6</t>
  </si>
  <si>
    <t>・"【別紙3】相互変換"シート"◆指定範囲の拡張空間ID変換 (点群)"に記載されている、頂点座標のと変換後の空間IDの対応表と同様の結果が取得できること
・エラーインスタンスが返却されていないこと。</t>
    <rPh sb="37" eb="39">
      <t>キサイ</t>
    </rPh>
    <rPh sb="45" eb="49">
      <t>チョウテンザヒョウ</t>
    </rPh>
    <rPh sb="51" eb="54">
      <t>ヘンカンゴ</t>
    </rPh>
    <rPh sb="55" eb="57">
      <t>クウカン</t>
    </rPh>
    <rPh sb="60" eb="62">
      <t>タイオウ</t>
    </rPh>
    <rPh sb="62" eb="63">
      <t>ヒョウ</t>
    </rPh>
    <rPh sb="64" eb="66">
      <t>ドウヨウ</t>
    </rPh>
    <rPh sb="67" eb="69">
      <t>ケッカ</t>
    </rPh>
    <rPh sb="70" eb="72">
      <t>シュトク</t>
    </rPh>
    <rPh sb="89" eb="91">
      <t>ヘンキャク</t>
    </rPh>
    <phoneticPr fontId="3"/>
  </si>
  <si>
    <t xml:space="preserve">1. 引数に以下を指定して、shape.GetPointOnSpatialIdを呼び出す。
　空間ID：正常な任意の値
　オプション：common.enum.Vertex
2. 引数に以下を指定して、shape.GetSpatialIdsOnPointsを呼び出す。
　地理座標リスト: 手順1で取得した地理座標8つ
　精度: 手順1で入力した空間IDの精度
</t>
    <rPh sb="47" eb="49">
      <t>クウカン</t>
    </rPh>
    <rPh sb="145" eb="147">
      <t>テジュン</t>
    </rPh>
    <rPh sb="149" eb="151">
      <t>シュトク</t>
    </rPh>
    <rPh sb="153" eb="157">
      <t>チリザヒョウ</t>
    </rPh>
    <rPh sb="165" eb="167">
      <t>テジュン</t>
    </rPh>
    <rPh sb="169" eb="171">
      <t>ニュウリョク</t>
    </rPh>
    <rPh sb="173" eb="175">
      <t>クウカン</t>
    </rPh>
    <phoneticPr fontId="3"/>
  </si>
  <si>
    <t xml:space="preserve">1. 引数に以下を指定して、shape.GetPointOnSpatialIdを呼び出す。
　空間ID：正常な任意の値
　オプション：common.enum.Center
2. 引数に以下を指定して、shape.GetSpatialIdsOnPointsを呼び出す。
　地理座標リスト: 手順1で取得した地理座標
　精度: 手順1で入力した空間IDの精度
</t>
    <rPh sb="47" eb="49">
      <t>クウカン</t>
    </rPh>
    <rPh sb="145" eb="147">
      <t>テジュン</t>
    </rPh>
    <rPh sb="149" eb="151">
      <t>シュトク</t>
    </rPh>
    <rPh sb="153" eb="157">
      <t>チリザヒョウ</t>
    </rPh>
    <rPh sb="163" eb="165">
      <t>テジュン</t>
    </rPh>
    <rPh sb="167" eb="169">
      <t>ニュウリョク</t>
    </rPh>
    <rPh sb="171" eb="173">
      <t>クウカン</t>
    </rPh>
    <phoneticPr fontId="3"/>
  </si>
  <si>
    <t>・"【別紙3】相互変換"シート"◆指定範囲の空間ID変換 (点群)"に記載されている、頂点座標のと変換後の空間IDの対応表と同様の結果が取得できること
・エラーインスタンスが返却されていないこと。</t>
    <phoneticPr fontId="3"/>
  </si>
  <si>
    <t>・以下の空間IDが取得できること。
26/0/59606297/26425045
・エラーインスタンスが返却されていないこと。</t>
    <rPh sb="1" eb="3">
      <t>イカ</t>
    </rPh>
    <rPh sb="4" eb="6">
      <t>クウカン</t>
    </rPh>
    <rPh sb="9" eb="11">
      <t>シュトク</t>
    </rPh>
    <phoneticPr fontId="3"/>
  </si>
  <si>
    <t xml:space="preserve">1. 引数に以下を指定して、shape.GetPointOnSpatialIdを呼び出す。
　空間ID：10/10/10
　option： common.enum.Center
</t>
    <rPh sb="47" eb="49">
      <t>クウカン</t>
    </rPh>
    <phoneticPr fontId="3"/>
  </si>
  <si>
    <t xml:space="preserve">1. 引数に以下を指定して、shape.GetPointOnSpatialIdを呼び出す。
　空間ID：10/10/10/10/10
　option： common.enum.Vertex
</t>
    <rPh sb="47" eb="49">
      <t>クウカン</t>
    </rPh>
    <phoneticPr fontId="3"/>
  </si>
  <si>
    <t xml:space="preserve">1. 引数に以下を指定して、shape.GetPointOnSpatialIdを呼び出す。
　空間ID：10|10|10|10
　option： common.enum.Center
</t>
    <rPh sb="47" eb="49">
      <t>クウカン</t>
    </rPh>
    <phoneticPr fontId="3"/>
  </si>
  <si>
    <t xml:space="preserve">1. 引数に以下を指定して、shape.GetPointOnSpatialIdを呼び出す。
　空間ID：/10/10/10
　option： common.enum.Center
</t>
    <rPh sb="47" eb="49">
      <t>クウカン</t>
    </rPh>
    <phoneticPr fontId="3"/>
  </si>
  <si>
    <t xml:space="preserve">1. 引数に以下を指定して、shape.GetPointOnSpatialIdを呼び出す。
　空間ID：10/10//10
　option： common.enum.Center
</t>
    <rPh sb="47" eb="49">
      <t>クウカン</t>
    </rPh>
    <phoneticPr fontId="3"/>
  </si>
  <si>
    <t xml:space="preserve">1. 引数に以下を指定して、shape.GetPointOnSpatialIdを呼び出す。
　空間ID：10/10/10/
　option： common.enum.Center
</t>
    <rPh sb="47" eb="49">
      <t>クウカン</t>
    </rPh>
    <phoneticPr fontId="3"/>
  </si>
  <si>
    <t xml:space="preserve">1. 引数に以下を指定して、shape.GetPointOnSpatialIdを呼び出す。
　空間ID：10//10/10
　option： common.enum.Center
</t>
    <rPh sb="47" eb="49">
      <t>クウカン</t>
    </rPh>
    <phoneticPr fontId="3"/>
  </si>
  <si>
    <t>・以下のspatialIdErrorが返却されること
　- エラーコード：OptionFailedError
　- エラーメッセージ：オプション値の指定エラー</t>
  </si>
  <si>
    <t xml:space="preserve">1. 引数に以下を指定して、shape.GetPointOnSpatialIdを呼び出す。
　空間ID：空文字
　option： common.enum.Center
</t>
    <rPh sb="47" eb="49">
      <t>クウカン</t>
    </rPh>
    <rPh sb="52" eb="55">
      <t>カラモジ</t>
    </rPh>
    <phoneticPr fontId="3"/>
  </si>
  <si>
    <t xml:space="preserve">1. 引数に以下を指定して、shape.GetPointOnSpatialIdを呼び出す。
　空間ID：正常な任意の値
　option： 10
</t>
    <rPh sb="47" eb="49">
      <t>クウカン</t>
    </rPh>
    <rPh sb="52" eb="54">
      <t>セイジョウ</t>
    </rPh>
    <rPh sb="55" eb="57">
      <t>ニンイ</t>
    </rPh>
    <rPh sb="58" eb="59">
      <t>アタイ</t>
    </rPh>
    <phoneticPr fontId="3"/>
  </si>
  <si>
    <t>1. 引数に以下を指定して、shape.GetSpatialIdsOnPointsを呼び出す。
　"【別紙2】精度入力パターン"シート"◆指定範囲の空間ID変換 (点群)"の「座標」、「精度」
　※0～35 全ての精度の結果を確認すること。</t>
    <phoneticPr fontId="3"/>
  </si>
  <si>
    <t>精度を変えても空間IDが取得できる</t>
    <phoneticPr fontId="3"/>
  </si>
  <si>
    <t>1. 引数に以下を指定して、shape.GetPointOnSpatialIdを呼び出す。
　"【別紙2】精度入力パターン"シート"◆空間IDから座標への変換"の「空間ID」、「オプション」
　※0～35 全ての精度の結果を確認すること。</t>
    <rPh sb="82" eb="84">
      <t>クウカン</t>
    </rPh>
    <rPh sb="103" eb="104">
      <t>スベ</t>
    </rPh>
    <rPh sb="106" eb="108">
      <t>セイド</t>
    </rPh>
    <rPh sb="109" eb="111">
      <t>ケッカ</t>
    </rPh>
    <rPh sb="112" eb="114">
      <t>カクニン</t>
    </rPh>
    <phoneticPr fontId="3"/>
  </si>
  <si>
    <t xml:space="preserve">1. 引数に以下を指定して、shape.GetPointOnSpatialIdを呼び出す。
　空間ID：36/10/10/10
　option： common.enum.Center
</t>
    <rPh sb="47" eb="49">
      <t>クウカン</t>
    </rPh>
    <phoneticPr fontId="3"/>
  </si>
  <si>
    <t xml:space="preserve">1. 引数に以下を指定して、shape.GetPointOnSpatialIdを呼び出す。
　空間ID：-1/10/10/10
　option： common.enum.Center
</t>
    <phoneticPr fontId="3"/>
  </si>
  <si>
    <t xml:space="preserve">1. 引数に以下を指定して、shape.GetSpatialIdsOnPointsを呼び出す。
　地理座標リスト: 正常な任意の値
　精度: 正常な任意の値
2. 引数に以下を指定して、shape.GetPointOnSpatialIdを呼び出す。
　空間ID：手順1で取得した空間ID
　オプション：common.enum.Vertex
</t>
    <rPh sb="132" eb="134">
      <t>テジュン</t>
    </rPh>
    <rPh sb="136" eb="138">
      <t>シュトク</t>
    </rPh>
    <rPh sb="140" eb="142">
      <t>クウカン</t>
    </rPh>
    <phoneticPr fontId="3"/>
  </si>
  <si>
    <t xml:space="preserve">1. 引数に以下を指定して、shape.GetPointOnSpatialIdを呼び出す。
　空間ID：26/0/59606297/26425045
　オプション：common.enum.Center
</t>
    <phoneticPr fontId="3"/>
  </si>
  <si>
    <t>・以下の座標が取得できること。
(139.75309699773788, 35.6853721543, 0.25)
・エラーインスタンスが返却されていないこと</t>
    <rPh sb="1" eb="3">
      <t>イカ</t>
    </rPh>
    <rPh sb="4" eb="6">
      <t>ザヒョウ</t>
    </rPh>
    <rPh sb="7" eb="9">
      <t>シュトク</t>
    </rPh>
    <phoneticPr fontId="3"/>
  </si>
  <si>
    <t>1. 引数に以下を指定して、shape.GetSpatialIdsOnPointsを呼び出す。
　地理座標リスト: object.NewPoint(139.753098, 35.685371, 0.0) のPointを格納したリスト
　精度: 26</t>
    <rPh sb="109" eb="111">
      <t>カクノウ</t>
    </rPh>
    <phoneticPr fontId="3"/>
  </si>
  <si>
    <t>宮原</t>
    <rPh sb="0" eb="2">
      <t>ミヤハラ</t>
    </rPh>
    <phoneticPr fontId="3"/>
  </si>
  <si>
    <t>OK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</si>
</sst>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m/d"/>
    <numFmt numFmtId="177" formatCode="#,##0;\-#,##0;&quot;-&quot;"/>
    <numFmt numFmtId="178" formatCode="[$-411]ggge&quot;年&quot;m&quot;月&quot;d&quot;日&quot;;@"/>
    <numFmt numFmtId="179" formatCode="0.00_ "/>
    <numFmt numFmtId="180" formatCode="&quot;$&quot;#,##0_);\(&quot;$&quot;#,##0\)"/>
    <numFmt numFmtId="181" formatCode="&quot;¥&quot;&quot;¥&quot;&quot;¥&quot;&quot;¥&quot;&quot;¥&quot;&quot;¥&quot;&quot;¥&quot;\$#,##0_);[Red]&quot;¥&quot;&quot;¥&quot;&quot;¥&quot;&quot;¥&quot;&quot;¥&quot;&quot;¥&quot;&quot;¥&quot;\(&quot;¥&quot;&quot;¥&quot;&quot;¥&quot;&quot;¥&quot;&quot;¥&quot;&quot;¥&quot;&quot;¥&quot;\$#,##0&quot;¥&quot;&quot;¥&quot;&quot;¥&quot;&quot;¥&quot;&quot;¥&quot;&quot;¥&quot;&quot;¥&quot;\)"/>
    <numFmt numFmtId="182" formatCode="&quot;$&quot;#,##0_);[Red]\(&quot;$&quot;#,##0\)"/>
    <numFmt numFmtId="183" formatCode="&quot;$&quot;#,##0.00_);[Red]\(&quot;$&quot;#,##0.00\)"/>
    <numFmt numFmtId="184" formatCode="_ * #,##0_ ;_ * &quot;¥&quot;&quot;¥&quot;&quot;¥&quot;&quot;¥&quot;&quot;¥&quot;&quot;¥&quot;\-#,##0_ ;_ * &quot;-&quot;_ ;_ @_ "/>
    <numFmt numFmtId="185" formatCode="_ * #,##0.00_ ;_ * &quot;¥&quot;&quot;¥&quot;&quot;¥&quot;&quot;¥&quot;&quot;¥&quot;&quot;¥&quot;\-#,##0.00_ ;_ * &quot;-&quot;??_ ;_ @_ "/>
    <numFmt numFmtId="186" formatCode="0.00_)"/>
    <numFmt numFmtId="187" formatCode="#,##0_ ;[Red]\-#,##0\ "/>
    <numFmt numFmtId="188" formatCode="0_ ;[Red]\-0\ "/>
    <numFmt numFmtId="189" formatCode="0_);\(0\)"/>
    <numFmt numFmtId="190" formatCode="#,##0_ "/>
    <numFmt numFmtId="191" formatCode="[$-F800]dddd\,\ mmmm\ dd\,\ yyyy"/>
  </numFmts>
  <fonts count="3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8"/>
      <name val="ＭＳ 明朝"/>
      <family val="1"/>
      <charset val="128"/>
    </font>
    <font>
      <sz val="11"/>
      <name val="ＭＳ 明朝"/>
      <family val="1"/>
      <charset val="128"/>
    </font>
    <font>
      <b/>
      <sz val="22"/>
      <name val="ＭＳ 明朝"/>
      <family val="1"/>
      <charset val="128"/>
    </font>
    <font>
      <b/>
      <sz val="24"/>
      <name val="ＭＳ 明朝"/>
      <family val="1"/>
      <charset val="128"/>
    </font>
    <font>
      <sz val="18"/>
      <name val="ＭＳ 明朝"/>
      <family val="1"/>
      <charset val="128"/>
    </font>
    <font>
      <sz val="14"/>
      <name val="ＭＳ 明朝"/>
      <family val="1"/>
      <charset val="128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ＭＳ 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b/>
      <i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9"/>
      <color theme="1"/>
      <name val="ＭＳ Ｐゴシック"/>
      <family val="2"/>
      <charset val="128"/>
      <scheme val="minor"/>
    </font>
    <font>
      <b/>
      <sz val="10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lightGray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180" fontId="20" fillId="0" borderId="1" applyAlignment="0" applyProtection="0"/>
    <xf numFmtId="177" fontId="7" fillId="0" borderId="0" applyFill="0" applyBorder="0" applyAlignment="0"/>
    <xf numFmtId="38" fontId="21" fillId="0" borderId="0" applyFont="0" applyFill="0" applyBorder="0" applyAlignment="0" applyProtection="0"/>
    <xf numFmtId="181" fontId="22" fillId="0" borderId="0"/>
    <xf numFmtId="182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184" fontId="22" fillId="0" borderId="0"/>
    <xf numFmtId="185" fontId="22" fillId="0" borderId="0"/>
    <xf numFmtId="0" fontId="8" fillId="0" borderId="0">
      <alignment horizontal="left"/>
    </xf>
    <xf numFmtId="38" fontId="23" fillId="2" borderId="0" applyNumberFormat="0" applyBorder="0" applyAlignment="0" applyProtection="0"/>
    <xf numFmtId="0" fontId="9" fillId="0" borderId="2" applyNumberFormat="0" applyAlignment="0" applyProtection="0">
      <alignment horizontal="left" vertical="center"/>
    </xf>
    <xf numFmtId="0" fontId="9" fillId="0" borderId="3">
      <alignment horizontal="left" vertical="center"/>
    </xf>
    <xf numFmtId="10" fontId="23" fillId="3" borderId="4" applyNumberFormat="0" applyBorder="0" applyAlignment="0" applyProtection="0"/>
    <xf numFmtId="186" fontId="24" fillId="0" borderId="0"/>
    <xf numFmtId="0" fontId="10" fillId="0" borderId="0"/>
    <xf numFmtId="10" fontId="10" fillId="0" borderId="0" applyFont="0" applyFill="0" applyBorder="0" applyAlignment="0" applyProtection="0"/>
    <xf numFmtId="4" fontId="8" fillId="0" borderId="0">
      <alignment horizontal="right"/>
    </xf>
    <xf numFmtId="0" fontId="21" fillId="0" borderId="0" applyNumberFormat="0" applyFont="0" applyFill="0" applyBorder="0" applyAlignment="0" applyProtection="0">
      <alignment horizontal="left"/>
    </xf>
    <xf numFmtId="0" fontId="20" fillId="0" borderId="5">
      <alignment horizontal="center"/>
    </xf>
    <xf numFmtId="4" fontId="11" fillId="0" borderId="0">
      <alignment horizontal="right"/>
    </xf>
    <xf numFmtId="0" fontId="12" fillId="0" borderId="0">
      <alignment horizontal="left"/>
    </xf>
    <xf numFmtId="0" fontId="13" fillId="0" borderId="0">
      <alignment horizontal="center"/>
    </xf>
    <xf numFmtId="187" fontId="4" fillId="0" borderId="0" applyBorder="0">
      <alignment horizontal="right"/>
    </xf>
    <xf numFmtId="49" fontId="1" fillId="0" borderId="0" applyFont="0"/>
    <xf numFmtId="188" fontId="4" fillId="0" borderId="0" applyFill="0" applyBorder="0"/>
    <xf numFmtId="187" fontId="4" fillId="0" borderId="0" applyFill="0" applyBorder="0"/>
    <xf numFmtId="189" fontId="4" fillId="0" borderId="0" applyBorder="0">
      <alignment horizontal="left"/>
    </xf>
    <xf numFmtId="49" fontId="4" fillId="4" borderId="6">
      <alignment horizontal="center"/>
    </xf>
    <xf numFmtId="190" fontId="4" fillId="4" borderId="6">
      <alignment horizontal="right"/>
    </xf>
    <xf numFmtId="14" fontId="4" fillId="4" borderId="0" applyBorder="0">
      <alignment horizontal="center"/>
    </xf>
    <xf numFmtId="49" fontId="4" fillId="0" borderId="6"/>
    <xf numFmtId="14" fontId="4" fillId="0" borderId="7" applyBorder="0">
      <alignment horizontal="left"/>
    </xf>
    <xf numFmtId="14" fontId="4" fillId="0" borderId="0" applyFill="0" applyBorder="0"/>
    <xf numFmtId="0" fontId="1" fillId="0" borderId="0"/>
    <xf numFmtId="0" fontId="26" fillId="0" borderId="0">
      <alignment vertical="center"/>
    </xf>
    <xf numFmtId="0" fontId="1" fillId="0" borderId="0">
      <alignment vertical="center"/>
    </xf>
    <xf numFmtId="49" fontId="4" fillId="0" borderId="0"/>
    <xf numFmtId="0" fontId="19" fillId="0" borderId="0"/>
    <xf numFmtId="0" fontId="25" fillId="5" borderId="0">
      <alignment horizontal="center"/>
    </xf>
    <xf numFmtId="0" fontId="1" fillId="0" borderId="0"/>
    <xf numFmtId="0" fontId="1" fillId="0" borderId="0"/>
    <xf numFmtId="0" fontId="27" fillId="0" borderId="0"/>
    <xf numFmtId="0" fontId="28" fillId="0" borderId="0">
      <alignment vertical="center"/>
    </xf>
  </cellStyleXfs>
  <cellXfs count="125">
    <xf numFmtId="0" fontId="0" fillId="0" borderId="0" xfId="0"/>
    <xf numFmtId="14" fontId="2" fillId="0" borderId="0" xfId="0" applyNumberFormat="1" applyFont="1" applyAlignment="1">
      <alignment horizontal="center" vertical="center"/>
    </xf>
    <xf numFmtId="0" fontId="14" fillId="4" borderId="0" xfId="36" applyFont="1" applyFill="1" applyBorder="1" applyAlignment="1">
      <alignment horizontal="center" vertical="top" wrapText="1"/>
    </xf>
    <xf numFmtId="0" fontId="14" fillId="4" borderId="9" xfId="36" applyFont="1" applyFill="1" applyBorder="1" applyAlignment="1">
      <alignment horizontal="center" vertical="center" wrapText="1"/>
    </xf>
    <xf numFmtId="0" fontId="14" fillId="4" borderId="9" xfId="36" applyFont="1" applyFill="1" applyBorder="1" applyAlignment="1">
      <alignment horizontal="center" vertical="top" wrapText="1"/>
    </xf>
    <xf numFmtId="0" fontId="14" fillId="4" borderId="9" xfId="36" applyFont="1" applyFill="1" applyBorder="1" applyAlignment="1">
      <alignment vertical="top" wrapText="1"/>
    </xf>
    <xf numFmtId="14" fontId="14" fillId="4" borderId="9" xfId="36" applyNumberFormat="1" applyFont="1" applyFill="1" applyBorder="1" applyAlignment="1">
      <alignment horizontal="left" vertical="center" wrapText="1"/>
    </xf>
    <xf numFmtId="0" fontId="14" fillId="4" borderId="0" xfId="36" applyFont="1" applyFill="1" applyBorder="1" applyAlignment="1">
      <alignment vertical="top" wrapText="1"/>
    </xf>
    <xf numFmtId="0" fontId="14" fillId="4" borderId="0" xfId="36" applyFont="1" applyFill="1" applyBorder="1" applyAlignment="1">
      <alignment horizontal="center" vertical="center" wrapText="1"/>
    </xf>
    <xf numFmtId="14" fontId="14" fillId="4" borderId="0" xfId="36" applyNumberFormat="1" applyFont="1" applyFill="1" applyBorder="1" applyAlignment="1">
      <alignment horizontal="left" vertical="center" wrapText="1"/>
    </xf>
    <xf numFmtId="176" fontId="14" fillId="4" borderId="0" xfId="36" applyNumberFormat="1" applyFont="1" applyFill="1" applyBorder="1" applyAlignment="1">
      <alignment horizontal="center" vertical="top" wrapText="1"/>
    </xf>
    <xf numFmtId="57" fontId="14" fillId="4" borderId="0" xfId="36" applyNumberFormat="1" applyFont="1" applyFill="1" applyBorder="1" applyAlignment="1">
      <alignment horizontal="center" vertical="top" wrapText="1"/>
    </xf>
    <xf numFmtId="0" fontId="14" fillId="4" borderId="0" xfId="34" applyFont="1" applyFill="1" applyBorder="1" applyAlignment="1">
      <alignment horizontal="center" vertical="top" wrapText="1"/>
    </xf>
    <xf numFmtId="0" fontId="14" fillId="4" borderId="0" xfId="34" applyFont="1" applyFill="1" applyBorder="1" applyAlignment="1">
      <alignment horizontal="left" vertical="top" wrapText="1"/>
    </xf>
    <xf numFmtId="0" fontId="15" fillId="4" borderId="0" xfId="34" applyFont="1" applyFill="1" applyBorder="1" applyAlignment="1">
      <alignment vertical="top" wrapText="1"/>
    </xf>
    <xf numFmtId="14" fontId="14" fillId="4" borderId="0" xfId="36" applyNumberFormat="1" applyFont="1" applyFill="1" applyBorder="1" applyAlignment="1">
      <alignment horizontal="center" vertical="center" wrapText="1"/>
    </xf>
    <xf numFmtId="0" fontId="16" fillId="4" borderId="0" xfId="34" applyFont="1" applyFill="1" applyBorder="1" applyAlignment="1">
      <alignment vertical="center" wrapText="1"/>
    </xf>
    <xf numFmtId="0" fontId="14" fillId="4" borderId="0" xfId="34" applyFont="1" applyFill="1" applyBorder="1" applyAlignment="1">
      <alignment vertical="top" wrapText="1"/>
    </xf>
    <xf numFmtId="0" fontId="14" fillId="4" borderId="0" xfId="36" applyFont="1" applyFill="1" applyBorder="1" applyAlignment="1">
      <alignment vertical="top"/>
    </xf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6" borderId="0" xfId="0" applyFont="1" applyFill="1"/>
    <xf numFmtId="0" fontId="2" fillId="6" borderId="4" xfId="0" applyFont="1" applyFill="1" applyBorder="1" applyAlignment="1">
      <alignment horizontal="left" vertical="top" wrapText="1"/>
    </xf>
    <xf numFmtId="14" fontId="2" fillId="6" borderId="8" xfId="0" applyNumberFormat="1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top" wrapText="1"/>
    </xf>
    <xf numFmtId="0" fontId="2" fillId="6" borderId="8" xfId="0" applyFont="1" applyFill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30" fillId="0" borderId="0" xfId="0" applyFont="1"/>
    <xf numFmtId="0" fontId="0" fillId="0" borderId="8" xfId="0" applyBorder="1" applyAlignment="1">
      <alignment vertical="top" wrapText="1"/>
    </xf>
    <xf numFmtId="0" fontId="14" fillId="4" borderId="0" xfId="36" applyFont="1" applyFill="1" applyAlignment="1">
      <alignment vertical="top" wrapText="1"/>
    </xf>
    <xf numFmtId="178" fontId="15" fillId="0" borderId="4" xfId="36" applyNumberFormat="1" applyFont="1" applyBorder="1">
      <alignment vertical="center"/>
    </xf>
    <xf numFmtId="179" fontId="15" fillId="0" borderId="4" xfId="36" applyNumberFormat="1" applyFont="1" applyBorder="1" applyAlignment="1">
      <alignment horizontal="center" vertical="center"/>
    </xf>
    <xf numFmtId="0" fontId="15" fillId="0" borderId="4" xfId="36" applyFont="1" applyBorder="1">
      <alignment vertical="center"/>
    </xf>
    <xf numFmtId="0" fontId="2" fillId="6" borderId="10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horizontal="center" vertical="top" wrapText="1"/>
    </xf>
    <xf numFmtId="0" fontId="0" fillId="0" borderId="22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2" fillId="0" borderId="11" xfId="0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center"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0" fillId="0" borderId="16" xfId="0" applyBorder="1" applyAlignment="1">
      <alignment horizontal="right"/>
    </xf>
    <xf numFmtId="0" fontId="29" fillId="7" borderId="11" xfId="0" applyFont="1" applyFill="1" applyBorder="1" applyAlignment="1">
      <alignment horizontal="center" vertical="center" wrapText="1"/>
    </xf>
    <xf numFmtId="0" fontId="29" fillId="7" borderId="10" xfId="0" applyFont="1" applyFill="1" applyBorder="1" applyAlignment="1">
      <alignment horizontal="center" vertical="center" wrapText="1"/>
    </xf>
    <xf numFmtId="0" fontId="29" fillId="7" borderId="19" xfId="0" applyFont="1" applyFill="1" applyBorder="1" applyAlignment="1">
      <alignment horizontal="center" vertical="center" wrapText="1"/>
    </xf>
    <xf numFmtId="0" fontId="15" fillId="7" borderId="4" xfId="36" applyFont="1" applyFill="1" applyBorder="1">
      <alignment vertical="center"/>
    </xf>
    <xf numFmtId="0" fontId="15" fillId="7" borderId="4" xfId="36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14" fontId="5" fillId="7" borderId="13" xfId="0" applyNumberFormat="1" applyFont="1" applyFill="1" applyBorder="1" applyAlignment="1">
      <alignment horizontal="center" vertical="center"/>
    </xf>
    <xf numFmtId="0" fontId="5" fillId="7" borderId="13" xfId="0" applyNumberFormat="1" applyFont="1" applyFill="1" applyBorder="1" applyAlignment="1">
      <alignment horizontal="center" vertical="center" wrapText="1"/>
    </xf>
    <xf numFmtId="191" fontId="15" fillId="0" borderId="4" xfId="36" applyNumberFormat="1" applyFont="1" applyBorder="1">
      <alignment vertical="center"/>
    </xf>
    <xf numFmtId="0" fontId="27" fillId="0" borderId="0" xfId="42"/>
    <xf numFmtId="0" fontId="27" fillId="0" borderId="4" xfId="42" applyBorder="1"/>
    <xf numFmtId="0" fontId="27" fillId="0" borderId="32" xfId="42" applyBorder="1"/>
    <xf numFmtId="0" fontId="27" fillId="0" borderId="4" xfId="42" applyBorder="1" applyAlignment="1">
      <alignment horizontal="right"/>
    </xf>
    <xf numFmtId="0" fontId="27" fillId="0" borderId="31" xfId="42" applyBorder="1"/>
    <xf numFmtId="0" fontId="27" fillId="0" borderId="8" xfId="42" applyBorder="1"/>
    <xf numFmtId="49" fontId="27" fillId="0" borderId="4" xfId="42" applyNumberFormat="1" applyBorder="1"/>
    <xf numFmtId="9" fontId="27" fillId="0" borderId="31" xfId="42" applyNumberFormat="1" applyBorder="1"/>
    <xf numFmtId="9" fontId="27" fillId="0" borderId="32" xfId="42" applyNumberFormat="1" applyBorder="1"/>
    <xf numFmtId="9" fontId="27" fillId="0" borderId="8" xfId="42" applyNumberFormat="1" applyBorder="1"/>
    <xf numFmtId="0" fontId="27" fillId="0" borderId="33" xfId="42" applyBorder="1"/>
    <xf numFmtId="0" fontId="27" fillId="0" borderId="4" xfId="42" applyBorder="1" applyAlignment="1">
      <alignment wrapText="1"/>
    </xf>
    <xf numFmtId="0" fontId="33" fillId="8" borderId="4" xfId="42" applyFont="1" applyFill="1" applyBorder="1"/>
    <xf numFmtId="0" fontId="33" fillId="8" borderId="3" xfId="42" applyFont="1" applyFill="1" applyBorder="1"/>
    <xf numFmtId="0" fontId="33" fillId="9" borderId="4" xfId="42" applyFont="1" applyFill="1" applyBorder="1"/>
    <xf numFmtId="0" fontId="27" fillId="0" borderId="0" xfId="42" applyBorder="1"/>
    <xf numFmtId="0" fontId="33" fillId="0" borderId="0" xfId="42" applyFont="1"/>
    <xf numFmtId="49" fontId="27" fillId="0" borderId="8" xfId="42" applyNumberFormat="1" applyBorder="1"/>
    <xf numFmtId="49" fontId="27" fillId="0" borderId="4" xfId="42" applyNumberFormat="1" applyFill="1" applyBorder="1"/>
    <xf numFmtId="0" fontId="27" fillId="0" borderId="31" xfId="42" applyFill="1" applyBorder="1"/>
    <xf numFmtId="0" fontId="27" fillId="0" borderId="8" xfId="42" applyFill="1" applyBorder="1"/>
    <xf numFmtId="0" fontId="27" fillId="0" borderId="4" xfId="42" applyFill="1" applyBorder="1"/>
    <xf numFmtId="0" fontId="27" fillId="0" borderId="4" xfId="42" applyFill="1" applyBorder="1" applyAlignment="1">
      <alignment wrapText="1"/>
    </xf>
    <xf numFmtId="14" fontId="2" fillId="0" borderId="1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4" fontId="2" fillId="6" borderId="4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left" vertical="top" wrapText="1"/>
    </xf>
    <xf numFmtId="14" fontId="2" fillId="0" borderId="8" xfId="0" applyNumberFormat="1" applyFont="1" applyBorder="1" applyAlignment="1">
      <alignment horizontal="center" vertical="center"/>
    </xf>
    <xf numFmtId="0" fontId="31" fillId="8" borderId="34" xfId="0" applyFont="1" applyFill="1" applyBorder="1"/>
    <xf numFmtId="0" fontId="0" fillId="0" borderId="35" xfId="0" applyBorder="1"/>
    <xf numFmtId="0" fontId="0" fillId="0" borderId="36" xfId="0" applyBorder="1"/>
    <xf numFmtId="0" fontId="31" fillId="8" borderId="33" xfId="0" applyFont="1" applyFill="1" applyBorder="1"/>
    <xf numFmtId="0" fontId="0" fillId="0" borderId="0" xfId="0" applyBorder="1"/>
    <xf numFmtId="0" fontId="14" fillId="4" borderId="9" xfId="36" applyFont="1" applyFill="1" applyBorder="1" applyAlignment="1">
      <alignment horizontal="center" vertical="center" wrapText="1"/>
    </xf>
    <xf numFmtId="0" fontId="14" fillId="4" borderId="0" xfId="36" applyFont="1" applyFill="1" applyBorder="1" applyAlignment="1">
      <alignment horizontal="center" vertical="center" wrapText="1"/>
    </xf>
    <xf numFmtId="0" fontId="14" fillId="4" borderId="9" xfId="36" applyFont="1" applyFill="1" applyBorder="1" applyAlignment="1">
      <alignment vertical="center" wrapText="1"/>
    </xf>
    <xf numFmtId="0" fontId="14" fillId="4" borderId="0" xfId="36" applyFont="1" applyFill="1" applyBorder="1" applyAlignment="1">
      <alignment vertical="center" wrapText="1"/>
    </xf>
    <xf numFmtId="0" fontId="14" fillId="4" borderId="0" xfId="36" applyFont="1" applyFill="1" applyBorder="1" applyAlignment="1">
      <alignment horizontal="left" vertical="top" wrapText="1"/>
    </xf>
    <xf numFmtId="0" fontId="15" fillId="4" borderId="0" xfId="34" applyFont="1" applyFill="1" applyBorder="1" applyAlignment="1">
      <alignment horizontal="left" vertical="top" wrapText="1"/>
    </xf>
    <xf numFmtId="0" fontId="16" fillId="0" borderId="0" xfId="34" applyFont="1" applyFill="1" applyBorder="1" applyAlignment="1">
      <alignment horizontal="center" vertical="center" wrapText="1"/>
    </xf>
    <xf numFmtId="191" fontId="18" fillId="4" borderId="0" xfId="34" applyNumberFormat="1" applyFont="1" applyFill="1" applyBorder="1" applyAlignment="1">
      <alignment horizontal="center" vertical="center" wrapText="1"/>
    </xf>
    <xf numFmtId="0" fontId="17" fillId="4" borderId="0" xfId="34" applyFont="1" applyFill="1" applyBorder="1" applyAlignment="1">
      <alignment horizontal="center" vertical="center" wrapText="1"/>
    </xf>
    <xf numFmtId="0" fontId="16" fillId="4" borderId="0" xfId="34" applyFont="1" applyFill="1" applyBorder="1" applyAlignment="1">
      <alignment horizontal="center" vertical="center" wrapText="1"/>
    </xf>
    <xf numFmtId="0" fontId="18" fillId="4" borderId="0" xfId="34" applyFont="1" applyFill="1" applyBorder="1" applyAlignment="1">
      <alignment horizontal="center" vertical="center" wrapText="1"/>
    </xf>
    <xf numFmtId="0" fontId="31" fillId="7" borderId="11" xfId="0" applyFont="1" applyFill="1" applyBorder="1" applyAlignment="1">
      <alignment vertical="top" wrapText="1"/>
    </xf>
    <xf numFmtId="0" fontId="31" fillId="7" borderId="10" xfId="0" applyFont="1" applyFill="1" applyBorder="1" applyAlignment="1">
      <alignment vertical="top" wrapText="1"/>
    </xf>
    <xf numFmtId="0" fontId="31" fillId="7" borderId="19" xfId="0" applyFont="1" applyFill="1" applyBorder="1" applyAlignment="1">
      <alignment vertical="top" wrapText="1"/>
    </xf>
    <xf numFmtId="0" fontId="31" fillId="7" borderId="20" xfId="0" applyFont="1" applyFill="1" applyBorder="1" applyAlignment="1">
      <alignment vertical="top" wrapText="1"/>
    </xf>
    <xf numFmtId="0" fontId="31" fillId="7" borderId="17" xfId="0" applyFont="1" applyFill="1" applyBorder="1" applyAlignment="1">
      <alignment vertical="top" wrapText="1"/>
    </xf>
    <xf numFmtId="0" fontId="31" fillId="7" borderId="21" xfId="0" applyFont="1" applyFill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0" xfId="0" applyBorder="1" applyAlignment="1">
      <alignment vertical="top" wrapText="1"/>
    </xf>
  </cellXfs>
  <cellStyles count="44">
    <cellStyle name="Border" xfId="1" xr:uid="{00000000-0005-0000-0000-000000000000}"/>
    <cellStyle name="Calc Currency (0)" xfId="2" xr:uid="{00000000-0005-0000-0000-000001000000}"/>
    <cellStyle name="Comma [0]" xfId="3" xr:uid="{00000000-0005-0000-0000-000002000000}"/>
    <cellStyle name="comma zerodec" xfId="4" xr:uid="{00000000-0005-0000-0000-000003000000}"/>
    <cellStyle name="Currency [0]" xfId="5" xr:uid="{00000000-0005-0000-0000-000004000000}"/>
    <cellStyle name="Currency_laroux" xfId="6" xr:uid="{00000000-0005-0000-0000-000005000000}"/>
    <cellStyle name="Currency1" xfId="7" xr:uid="{00000000-0005-0000-0000-000006000000}"/>
    <cellStyle name="Dollar (zero dec)" xfId="8" xr:uid="{00000000-0005-0000-0000-000007000000}"/>
    <cellStyle name="entry" xfId="9" xr:uid="{00000000-0005-0000-0000-000008000000}"/>
    <cellStyle name="Grey" xfId="10" xr:uid="{00000000-0005-0000-0000-000009000000}"/>
    <cellStyle name="Header1" xfId="11" xr:uid="{00000000-0005-0000-0000-00000A000000}"/>
    <cellStyle name="Header2" xfId="12" xr:uid="{00000000-0005-0000-0000-00000B000000}"/>
    <cellStyle name="Input [yellow]" xfId="13" xr:uid="{00000000-0005-0000-0000-00000C000000}"/>
    <cellStyle name="Normal - Style1" xfId="14" xr:uid="{00000000-0005-0000-0000-00000D000000}"/>
    <cellStyle name="Normal_#18-Internet" xfId="15" xr:uid="{00000000-0005-0000-0000-00000E000000}"/>
    <cellStyle name="Percent [2]" xfId="16" xr:uid="{00000000-0005-0000-0000-00000F000000}"/>
    <cellStyle name="price" xfId="17" xr:uid="{00000000-0005-0000-0000-000010000000}"/>
    <cellStyle name="PSChar" xfId="18" xr:uid="{00000000-0005-0000-0000-000011000000}"/>
    <cellStyle name="PSHeading" xfId="19" xr:uid="{00000000-0005-0000-0000-000012000000}"/>
    <cellStyle name="revised" xfId="20" xr:uid="{00000000-0005-0000-0000-000013000000}"/>
    <cellStyle name="section" xfId="21" xr:uid="{00000000-0005-0000-0000-000014000000}"/>
    <cellStyle name="title" xfId="22" xr:uid="{00000000-0005-0000-0000-000015000000}"/>
    <cellStyle name="価格桁区切り" xfId="23" xr:uid="{00000000-0005-0000-0000-000017000000}"/>
    <cellStyle name="型番" xfId="24" xr:uid="{00000000-0005-0000-0000-000018000000}"/>
    <cellStyle name="数値" xfId="25" xr:uid="{00000000-0005-0000-0000-000019000000}"/>
    <cellStyle name="数値（桁区切り）" xfId="26" xr:uid="{00000000-0005-0000-0000-00001A000000}"/>
    <cellStyle name="数値_ＣＣ見積３S4100(NX)_rev3010704" xfId="27" xr:uid="{00000000-0005-0000-0000-00001B000000}"/>
    <cellStyle name="製品通知&quot;-&quot;" xfId="28" xr:uid="{00000000-0005-0000-0000-00001C000000}"/>
    <cellStyle name="製品通知価格" xfId="29" xr:uid="{00000000-0005-0000-0000-00001D000000}"/>
    <cellStyle name="製品通知日付" xfId="30" xr:uid="{00000000-0005-0000-0000-00001E000000}"/>
    <cellStyle name="製品通知文字列" xfId="31" xr:uid="{00000000-0005-0000-0000-00001F000000}"/>
    <cellStyle name="日付" xfId="32" xr:uid="{00000000-0005-0000-0000-000020000000}"/>
    <cellStyle name="年月日" xfId="33" xr:uid="{00000000-0005-0000-0000-000021000000}"/>
    <cellStyle name="標準" xfId="0" builtinId="0"/>
    <cellStyle name="標準 2" xfId="34" xr:uid="{00000000-0005-0000-0000-000023000000}"/>
    <cellStyle name="標準 2 2" xfId="43" xr:uid="{00000000-0005-0000-0000-000024000000}"/>
    <cellStyle name="標準 2 2 2" xfId="41" xr:uid="{00000000-0005-0000-0000-000025000000}"/>
    <cellStyle name="標準 3" xfId="42" xr:uid="{00000000-0005-0000-0000-000026000000}"/>
    <cellStyle name="標準 3 2" xfId="40" xr:uid="{00000000-0005-0000-0000-000027000000}"/>
    <cellStyle name="標準 4" xfId="35" xr:uid="{00000000-0005-0000-0000-000028000000}"/>
    <cellStyle name="標準_LoginTime_試験仕様書" xfId="36" xr:uid="{00000000-0005-0000-0000-000029000000}"/>
    <cellStyle name="文字列" xfId="37" xr:uid="{00000000-0005-0000-0000-00002A000000}"/>
    <cellStyle name="未定義" xfId="38" xr:uid="{00000000-0005-0000-0000-00002B000000}"/>
    <cellStyle name="網掛け" xfId="39" xr:uid="{00000000-0005-0000-0000-00002C000000}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indexed="23"/>
        </patternFill>
      </fill>
    </dxf>
  </dxfs>
  <tableStyles count="0" defaultTableStyle="TableStyleMedium9" defaultPivotStyle="PivotStyleLight16"/>
  <colors>
    <mruColors>
      <color rgb="FFCCFF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19050</xdr:rowOff>
    </xdr:from>
    <xdr:to>
      <xdr:col>8</xdr:col>
      <xdr:colOff>438150</xdr:colOff>
      <xdr:row>0</xdr:row>
      <xdr:rowOff>400050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3473954-684D-4AE0-9696-DBD3D9D499EF}"/>
            </a:ext>
          </a:extLst>
        </xdr:cNvPr>
        <xdr:cNvSpPr txBox="1"/>
      </xdr:nvSpPr>
      <xdr:spPr>
        <a:xfrm>
          <a:off x="8572500" y="19050"/>
          <a:ext cx="6953250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/>
            <a:t>【</a:t>
          </a:r>
          <a:r>
            <a:rPr kumimoji="1" lang="ja-JP" altLang="en-US" sz="800"/>
            <a:t>全体共通の手順</a:t>
          </a:r>
          <a:r>
            <a:rPr kumimoji="1" lang="en-US" altLang="ja-JP" sz="800"/>
            <a:t>】</a:t>
          </a:r>
        </a:p>
        <a:p>
          <a:r>
            <a:rPr kumimoji="1" lang="ja-JP" altLang="en-US" sz="800"/>
            <a:t>・本試験では、試験対象の</a:t>
          </a:r>
          <a:r>
            <a:rPr kumimoji="1" lang="en-US" altLang="ja-JP" sz="800"/>
            <a:t>API</a:t>
          </a:r>
          <a:r>
            <a:rPr kumimoji="1" lang="ja-JP" altLang="en-US" sz="800"/>
            <a:t>を呼び出す試験用スクリプトを作成し、実行することで試験を行うものとする。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9"/>
  <sheetViews>
    <sheetView showGridLines="0" view="pageBreakPreview" zoomScaleNormal="100" zoomScaleSheetLayoutView="100" workbookViewId="0">
      <selection activeCell="B25" sqref="B25:Y28"/>
    </sheetView>
  </sheetViews>
  <sheetFormatPr defaultColWidth="9" defaultRowHeight="10.5" x14ac:dyDescent="0.15"/>
  <cols>
    <col min="1" max="1" width="5.625" style="7" customWidth="1"/>
    <col min="2" max="2" width="8.875" style="7" customWidth="1"/>
    <col min="3" max="8" width="5.625" style="7" customWidth="1"/>
    <col min="9" max="11" width="5.625" style="8" customWidth="1"/>
    <col min="12" max="12" width="5.625" style="7" customWidth="1"/>
    <col min="13" max="14" width="5.625" style="8" customWidth="1"/>
    <col min="15" max="65" width="5.625" style="7" customWidth="1"/>
    <col min="66" max="16384" width="9" style="7"/>
  </cols>
  <sheetData>
    <row r="1" spans="1:28" ht="15" customHeight="1" x14ac:dyDescent="0.15">
      <c r="A1" s="105"/>
      <c r="B1" s="105"/>
      <c r="C1" s="107"/>
      <c r="D1" s="4"/>
      <c r="E1" s="5"/>
      <c r="F1" s="3"/>
      <c r="G1" s="6"/>
      <c r="H1" s="5"/>
      <c r="I1" s="4"/>
      <c r="J1" s="4"/>
      <c r="K1" s="4"/>
      <c r="L1" s="5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B1" s="18" t="s">
        <v>40</v>
      </c>
    </row>
    <row r="2" spans="1:28" ht="15" customHeight="1" x14ac:dyDescent="0.15">
      <c r="A2" s="106"/>
      <c r="B2" s="106"/>
      <c r="C2" s="108"/>
      <c r="D2" s="2"/>
      <c r="F2" s="8"/>
      <c r="G2" s="9"/>
      <c r="I2" s="2"/>
      <c r="J2" s="2"/>
      <c r="K2" s="2"/>
      <c r="M2" s="2"/>
      <c r="N2" s="2"/>
    </row>
    <row r="3" spans="1:28" ht="15" customHeight="1" x14ac:dyDescent="0.15">
      <c r="I3" s="2"/>
      <c r="J3" s="2"/>
      <c r="K3" s="2"/>
      <c r="M3" s="2"/>
      <c r="N3" s="2"/>
    </row>
    <row r="4" spans="1:28" s="2" customFormat="1" ht="15" customHeight="1" x14ac:dyDescent="0.15">
      <c r="D4" s="7"/>
      <c r="E4" s="7"/>
      <c r="F4" s="7"/>
      <c r="G4" s="7"/>
      <c r="I4" s="10"/>
      <c r="M4" s="11"/>
    </row>
    <row r="5" spans="1:28" ht="15" customHeight="1" x14ac:dyDescent="0.15">
      <c r="A5" s="12"/>
      <c r="B5" s="12"/>
      <c r="C5" s="13"/>
      <c r="E5" s="14"/>
      <c r="F5" s="14"/>
      <c r="G5" s="14"/>
      <c r="H5" s="13"/>
      <c r="I5" s="15"/>
      <c r="M5" s="15"/>
    </row>
    <row r="6" spans="1:28" ht="15" customHeight="1" x14ac:dyDescent="0.15">
      <c r="A6" s="12"/>
      <c r="B6" s="12"/>
      <c r="C6" s="13"/>
      <c r="D6" s="109"/>
      <c r="E6" s="110"/>
      <c r="F6" s="110"/>
      <c r="G6" s="110"/>
      <c r="H6" s="13"/>
      <c r="I6" s="15"/>
      <c r="M6" s="15"/>
    </row>
    <row r="7" spans="1:28" ht="15" customHeight="1" x14ac:dyDescent="0.15">
      <c r="A7" s="12"/>
      <c r="B7" s="111" t="str">
        <f>"空間ID開発(GO言語版)
"&amp;AB1</f>
        <v>空間ID開発(GO言語版)
点群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</row>
    <row r="8" spans="1:28" ht="15" customHeight="1" x14ac:dyDescent="0.15">
      <c r="A8" s="12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</row>
    <row r="9" spans="1:28" ht="15" customHeight="1" x14ac:dyDescent="0.15">
      <c r="A9" s="12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</row>
    <row r="10" spans="1:28" ht="15" customHeight="1" x14ac:dyDescent="0.15">
      <c r="A10" s="12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</row>
    <row r="11" spans="1:28" ht="15" customHeight="1" x14ac:dyDescent="0.1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8" ht="15" customHeight="1" x14ac:dyDescent="0.15">
      <c r="A12" s="12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</row>
    <row r="13" spans="1:28" ht="15" customHeight="1" x14ac:dyDescent="0.15">
      <c r="A13" s="12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</row>
    <row r="14" spans="1:28" ht="15" customHeight="1" x14ac:dyDescent="0.15">
      <c r="A14" s="12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</row>
    <row r="15" spans="1:28" ht="15" customHeight="1" x14ac:dyDescent="0.15">
      <c r="A15" s="12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</row>
    <row r="16" spans="1:28" ht="15" customHeight="1" x14ac:dyDescent="0.1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" customHeight="1" x14ac:dyDescent="0.15">
      <c r="A17" s="12"/>
      <c r="B17" s="113" t="s">
        <v>176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2"/>
    </row>
    <row r="18" spans="1:26" ht="15" customHeight="1" x14ac:dyDescent="0.15">
      <c r="A18" s="12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2"/>
    </row>
    <row r="19" spans="1:26" ht="15" customHeight="1" x14ac:dyDescent="0.15">
      <c r="A19" s="12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2"/>
    </row>
    <row r="20" spans="1:26" ht="15" customHeight="1" x14ac:dyDescent="0.15">
      <c r="A20" s="12"/>
      <c r="B20" s="114" t="str">
        <f>CONCATENATE(TEXT(MAX(変更履歴!C3:C7),"0.00"), "版")</f>
        <v>1.00版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</row>
    <row r="21" spans="1:26" ht="15" customHeight="1" x14ac:dyDescent="0.15">
      <c r="A21" s="12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2"/>
    </row>
    <row r="22" spans="1:26" ht="15" customHeight="1" x14ac:dyDescent="0.15">
      <c r="A22" s="12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2"/>
    </row>
    <row r="23" spans="1:26" ht="15" customHeight="1" x14ac:dyDescent="0.15">
      <c r="A23" s="12"/>
      <c r="B23" s="112">
        <v>44883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2"/>
    </row>
    <row r="24" spans="1:26" ht="15" customHeight="1" x14ac:dyDescent="0.15">
      <c r="A24" s="12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2"/>
    </row>
    <row r="25" spans="1:26" ht="15" customHeight="1" x14ac:dyDescent="0.15">
      <c r="A25" s="12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</row>
    <row r="26" spans="1:26" ht="15" customHeight="1" x14ac:dyDescent="0.15">
      <c r="A26" s="12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</row>
    <row r="27" spans="1:26" ht="15" customHeight="1" x14ac:dyDescent="0.15">
      <c r="A27" s="12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</row>
    <row r="28" spans="1:26" ht="15" customHeight="1" x14ac:dyDescent="0.15">
      <c r="A28" s="12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</row>
    <row r="29" spans="1:26" ht="15" customHeight="1" x14ac:dyDescent="0.15">
      <c r="A29" s="12"/>
      <c r="B29" s="12"/>
      <c r="C29" s="17"/>
      <c r="D29" s="109"/>
      <c r="E29" s="110"/>
      <c r="F29" s="110"/>
      <c r="G29" s="110"/>
      <c r="H29" s="13"/>
      <c r="I29" s="15"/>
      <c r="M29" s="15"/>
    </row>
  </sheetData>
  <mergeCells count="10">
    <mergeCell ref="A1:B2"/>
    <mergeCell ref="C1:C2"/>
    <mergeCell ref="D6:G6"/>
    <mergeCell ref="B7:Y10"/>
    <mergeCell ref="D29:G29"/>
    <mergeCell ref="B23:Y24"/>
    <mergeCell ref="B17:Y19"/>
    <mergeCell ref="B12:Y15"/>
    <mergeCell ref="B20:Y21"/>
    <mergeCell ref="B25:Y28"/>
  </mergeCells>
  <phoneticPr fontId="3"/>
  <pageMargins left="0.78740157480314965" right="0.78740157480314965" top="0.98425196850393704" bottom="0.98425196850393704" header="0.51181102362204722" footer="0.51181102362204722"/>
  <pageSetup paperSize="9" scale="88" fitToHeight="0" orientation="landscape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25CD2-88A0-4C8C-B1E2-52AC5206311C}">
  <dimension ref="A2:F7"/>
  <sheetViews>
    <sheetView showGridLines="0" workbookViewId="0"/>
  </sheetViews>
  <sheetFormatPr defaultColWidth="2.625" defaultRowHeight="13.5" x14ac:dyDescent="0.15"/>
  <cols>
    <col min="2" max="2" width="17.25" bestFit="1" customWidth="1"/>
    <col min="3" max="3" width="6.5" bestFit="1" customWidth="1"/>
    <col min="4" max="4" width="13.625" customWidth="1"/>
    <col min="5" max="5" width="7.5" bestFit="1" customWidth="1"/>
    <col min="6" max="6" width="77.375" customWidth="1"/>
  </cols>
  <sheetData>
    <row r="2" spans="1:6" s="38" customFormat="1" ht="15" customHeight="1" x14ac:dyDescent="0.15">
      <c r="A2"/>
      <c r="B2" s="59" t="s">
        <v>0</v>
      </c>
      <c r="C2" s="60" t="s">
        <v>1</v>
      </c>
      <c r="D2" s="59" t="s">
        <v>25</v>
      </c>
      <c r="E2" s="59" t="s">
        <v>2</v>
      </c>
      <c r="F2" s="59" t="s">
        <v>3</v>
      </c>
    </row>
    <row r="3" spans="1:6" s="38" customFormat="1" ht="15" customHeight="1" x14ac:dyDescent="0.15">
      <c r="A3"/>
      <c r="B3" s="66">
        <v>44883</v>
      </c>
      <c r="C3" s="40">
        <v>1</v>
      </c>
      <c r="D3" s="41" t="s">
        <v>11</v>
      </c>
      <c r="E3" s="41" t="s">
        <v>34</v>
      </c>
      <c r="F3" s="41" t="s">
        <v>12</v>
      </c>
    </row>
    <row r="4" spans="1:6" s="38" customFormat="1" ht="15" customHeight="1" x14ac:dyDescent="0.15">
      <c r="A4"/>
      <c r="B4" s="39"/>
      <c r="C4" s="40"/>
      <c r="D4" s="41"/>
      <c r="E4" s="41"/>
      <c r="F4" s="41"/>
    </row>
    <row r="5" spans="1:6" s="38" customFormat="1" ht="15" customHeight="1" x14ac:dyDescent="0.15">
      <c r="A5"/>
      <c r="B5" s="39"/>
      <c r="C5" s="40"/>
      <c r="D5" s="41"/>
      <c r="E5" s="41"/>
      <c r="F5" s="41"/>
    </row>
    <row r="6" spans="1:6" s="38" customFormat="1" ht="15" customHeight="1" x14ac:dyDescent="0.15">
      <c r="A6"/>
      <c r="B6" s="39"/>
      <c r="C6" s="40"/>
      <c r="D6" s="41"/>
      <c r="E6" s="41"/>
      <c r="F6" s="41"/>
    </row>
    <row r="7" spans="1:6" s="38" customFormat="1" ht="15" customHeight="1" x14ac:dyDescent="0.15">
      <c r="A7"/>
      <c r="B7" s="39"/>
      <c r="C7" s="40"/>
      <c r="D7" s="41"/>
      <c r="E7" s="41"/>
      <c r="F7" s="41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F25" sqref="F25"/>
    </sheetView>
  </sheetViews>
  <sheetFormatPr defaultRowHeight="13.5" x14ac:dyDescent="0.15"/>
  <cols>
    <col min="1" max="1" width="2.625" customWidth="1"/>
    <col min="2" max="2" width="23.125" bestFit="1" customWidth="1"/>
    <col min="3" max="5" width="10.625" customWidth="1"/>
    <col min="6" max="6" width="15.625" customWidth="1"/>
    <col min="7" max="7" width="78.25" bestFit="1" customWidth="1"/>
  </cols>
  <sheetData>
    <row r="1" spans="1:5" ht="19.5" thickBot="1" x14ac:dyDescent="0.25">
      <c r="A1" s="36" t="s">
        <v>23</v>
      </c>
    </row>
    <row r="2" spans="1:5" x14ac:dyDescent="0.15">
      <c r="B2" s="56" t="s">
        <v>24</v>
      </c>
      <c r="C2" s="57" t="s">
        <v>19</v>
      </c>
      <c r="D2" s="57" t="s">
        <v>20</v>
      </c>
      <c r="E2" s="58" t="s">
        <v>21</v>
      </c>
    </row>
    <row r="3" spans="1:5" ht="14.25" thickBot="1" x14ac:dyDescent="0.2">
      <c r="B3" s="53" t="s">
        <v>175</v>
      </c>
      <c r="C3" s="50">
        <f ca="1">VLOOKUP(B3,$B$8:$D$11,3,FALSE)</f>
        <v>83</v>
      </c>
      <c r="D3" s="50" cm="1">
        <f t="array" aca="1" ref="D3" ca="1">COUNTIF(INDIRECT(B3&amp;"!$K$3:$K$1024"),"OK")-SUMPRODUCT((OFFSET(INDIRECT(B3&amp;"!$K$3:$K$1024"),,)="OK")*(OFFSET(INDIRECT(B3&amp;"!$M$3:$M$1024"),,)&lt;&gt;""))</f>
        <v>83</v>
      </c>
      <c r="E3" s="54">
        <f ca="1">C3-D3</f>
        <v>0</v>
      </c>
    </row>
    <row r="4" spans="1:5" ht="15" thickTop="1" thickBot="1" x14ac:dyDescent="0.2">
      <c r="B4" s="55" t="s">
        <v>22</v>
      </c>
      <c r="C4" s="48">
        <f ca="1">SUM(C3:C3)</f>
        <v>83</v>
      </c>
      <c r="D4" s="48">
        <f ca="1">SUM(D3:D3)</f>
        <v>83</v>
      </c>
      <c r="E4" s="49">
        <f ca="1">SUM(E3:E3)</f>
        <v>0</v>
      </c>
    </row>
    <row r="5" spans="1:5" ht="14.25" thickBot="1" x14ac:dyDescent="0.2"/>
    <row r="6" spans="1:5" x14ac:dyDescent="0.15">
      <c r="B6" s="116" t="s">
        <v>27</v>
      </c>
      <c r="C6" s="117"/>
      <c r="D6" s="118"/>
    </row>
    <row r="7" spans="1:5" ht="14.25" thickBot="1" x14ac:dyDescent="0.2">
      <c r="B7" s="119"/>
      <c r="C7" s="120"/>
      <c r="D7" s="121"/>
    </row>
    <row r="8" spans="1:5" ht="14.25" thickBot="1" x14ac:dyDescent="0.2">
      <c r="B8" s="122" t="s">
        <v>175</v>
      </c>
      <c r="C8" s="44" t="s">
        <v>28</v>
      </c>
      <c r="D8" s="45">
        <f ca="1">SUM(D9:D11)</f>
        <v>83</v>
      </c>
    </row>
    <row r="9" spans="1:5" ht="14.25" thickTop="1" x14ac:dyDescent="0.15">
      <c r="B9" s="123"/>
      <c r="C9" s="37" t="s">
        <v>29</v>
      </c>
      <c r="D9" s="46" cm="1">
        <f t="array" aca="1" ref="D9" ca="1">COUNTIF(INDIRECT(B8&amp;"!$E$3:$E$1024"),C9)-SUMPRODUCT((OFFSET(INDIRECT(B8&amp;"!$E$3:$E$1024"),,)=C9)*(OFFSET(INDIRECT(B8&amp;"!$M$3:$M$1024"),,)&lt;&gt;""))</f>
        <v>40</v>
      </c>
    </row>
    <row r="10" spans="1:5" x14ac:dyDescent="0.15">
      <c r="B10" s="123"/>
      <c r="C10" s="35" t="s">
        <v>30</v>
      </c>
      <c r="D10" s="47" cm="1">
        <f t="array" aca="1" ref="D10" ca="1">COUNTIF(INDIRECT(B8&amp;"!$E$3:$E$1024"),C10)-SUMPRODUCT((OFFSET(INDIRECT(B8&amp;"!$E$3:$E$1024"),,)=C10)*(OFFSET(INDIRECT(B8&amp;"!$M$3:$M$1024"),,)&lt;&gt;""))</f>
        <v>43</v>
      </c>
    </row>
    <row r="11" spans="1:5" ht="14.25" thickBot="1" x14ac:dyDescent="0.2">
      <c r="B11" s="124"/>
      <c r="C11" s="48" t="s">
        <v>31</v>
      </c>
      <c r="D11" s="49" cm="1">
        <f t="array" aca="1" ref="D11" ca="1">COUNTIF(INDIRECT(B8&amp;"!$E$3:$E$1024"),C11)-SUMPRODUCT((OFFSET(INDIRECT(B8&amp;"!$E$3:$E$1024"),,)=C11)*(OFFSET(INDIRECT(B8&amp;"!$M$3:$M$1024"),,)&lt;&gt;""))</f>
        <v>0</v>
      </c>
    </row>
  </sheetData>
  <mergeCells count="2">
    <mergeCell ref="B6:D7"/>
    <mergeCell ref="B8:B11"/>
  </mergeCells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8"/>
  <sheetViews>
    <sheetView tabSelected="1" view="pageBreakPreview" zoomScaleNormal="100" zoomScaleSheetLayoutView="100" zoomScalePageLayoutView="85" workbookViewId="0">
      <pane ySplit="2" topLeftCell="A3" activePane="bottomLeft" state="frozen"/>
      <selection pane="bottomLeft" activeCell="A3" sqref="A3"/>
    </sheetView>
  </sheetViews>
  <sheetFormatPr defaultColWidth="6.5" defaultRowHeight="10.5" x14ac:dyDescent="0.15"/>
  <cols>
    <col min="1" max="1" width="18.375" style="19" bestFit="1" customWidth="1"/>
    <col min="2" max="2" width="19.75" style="19" customWidth="1"/>
    <col min="3" max="3" width="39.75" style="19" bestFit="1" customWidth="1"/>
    <col min="4" max="4" width="19.75" style="19" customWidth="1"/>
    <col min="5" max="5" width="7.5" style="19" bestFit="1" customWidth="1"/>
    <col min="6" max="6" width="7.375" style="19" hidden="1" customWidth="1"/>
    <col min="7" max="7" width="41.25" style="19" customWidth="1"/>
    <col min="8" max="8" width="44.25" style="19" customWidth="1"/>
    <col min="9" max="9" width="10.625" style="1" customWidth="1"/>
    <col min="10" max="11" width="10.625" style="21" customWidth="1"/>
    <col min="12" max="12" width="24.625" style="19" customWidth="1"/>
    <col min="13" max="13" width="25.375" style="19" customWidth="1"/>
    <col min="14" max="17" width="6.5" style="20"/>
    <col min="18" max="18" width="13.625" style="20" customWidth="1"/>
    <col min="19" max="16384" width="6.5" style="20"/>
  </cols>
  <sheetData>
    <row r="1" spans="1:20" s="24" customFormat="1" ht="33" customHeight="1" thickBot="1" x14ac:dyDescent="0.2">
      <c r="A1" s="22" t="str">
        <f ca="1">MID(CELL("filename",$A$1),FIND("]",CELL("filename",$A$1))+3,31)</f>
        <v>結合試験</v>
      </c>
      <c r="B1" s="23"/>
      <c r="C1" s="23"/>
      <c r="D1" s="23"/>
      <c r="E1" s="23"/>
      <c r="F1" s="23"/>
      <c r="G1" s="23"/>
      <c r="H1" s="23"/>
      <c r="I1" s="1"/>
      <c r="J1" s="21"/>
      <c r="K1" s="30" t="s">
        <v>33</v>
      </c>
      <c r="L1" s="23"/>
      <c r="M1" s="23"/>
      <c r="O1" s="25"/>
      <c r="P1" s="25"/>
      <c r="R1" s="31" t="s">
        <v>16</v>
      </c>
      <c r="S1" s="31">
        <f ca="1">VALUE(MID(CELL("filename",$A$1),FIND("]",CELL("filename",$A$1))+1,2))</f>
        <v>1</v>
      </c>
      <c r="T1" s="32"/>
    </row>
    <row r="2" spans="1:20" s="24" customFormat="1" ht="14.25" thickBot="1" x14ac:dyDescent="0.2">
      <c r="A2" s="61" t="s">
        <v>4</v>
      </c>
      <c r="B2" s="62" t="s">
        <v>5</v>
      </c>
      <c r="C2" s="62" t="s">
        <v>6</v>
      </c>
      <c r="D2" s="63" t="s">
        <v>7</v>
      </c>
      <c r="E2" s="63" t="s">
        <v>26</v>
      </c>
      <c r="F2" s="62" t="s">
        <v>32</v>
      </c>
      <c r="G2" s="62" t="s">
        <v>158</v>
      </c>
      <c r="H2" s="62" t="s">
        <v>56</v>
      </c>
      <c r="I2" s="64" t="s">
        <v>8</v>
      </c>
      <c r="J2" s="65" t="s">
        <v>9</v>
      </c>
      <c r="K2" s="62" t="s">
        <v>10</v>
      </c>
      <c r="L2" s="62" t="s">
        <v>17</v>
      </c>
      <c r="M2" s="62" t="s">
        <v>18</v>
      </c>
      <c r="O2" s="25"/>
      <c r="P2" s="25"/>
      <c r="R2" s="33" t="s">
        <v>13</v>
      </c>
      <c r="S2" s="33" t="s">
        <v>14</v>
      </c>
      <c r="T2" s="33" t="s">
        <v>15</v>
      </c>
    </row>
    <row r="3" spans="1:20" s="25" customFormat="1" ht="52.5" x14ac:dyDescent="0.15">
      <c r="A3" s="51" t="str">
        <f ca="1">IF(B3&lt;&gt;"",表紙!$AB$1&amp;"-"&amp;"結合-"&amp;TEXT($S$1,"00")&amp;"-"&amp;TEXT(R3,"00")&amp;"-"&amp;TEXT(S3,"00")&amp;"-"&amp;TEXT(T3,"０00"),"")</f>
        <v>点群-結合-01-01-01-001</v>
      </c>
      <c r="B3" s="29" t="s">
        <v>452</v>
      </c>
      <c r="C3" s="29" t="s">
        <v>52</v>
      </c>
      <c r="D3" s="29" t="s">
        <v>68</v>
      </c>
      <c r="E3" s="42" t="s">
        <v>35</v>
      </c>
      <c r="F3" s="42"/>
      <c r="G3" s="29" t="s">
        <v>204</v>
      </c>
      <c r="H3" s="29" t="s">
        <v>199</v>
      </c>
      <c r="I3" s="90">
        <v>44889</v>
      </c>
      <c r="J3" s="91" t="s">
        <v>393</v>
      </c>
      <c r="K3" s="92" t="s">
        <v>394</v>
      </c>
      <c r="L3" s="29"/>
      <c r="M3" s="29"/>
      <c r="R3" s="33">
        <f>IF(ROW()&lt;&gt;3,IF(B2&lt;&gt;B3,#REF!+1,#REF!),1)</f>
        <v>1</v>
      </c>
      <c r="S3" s="33">
        <f>IF(B2=B3,IF(C2&lt;&gt;C3,#REF!+1,#REF!),1)</f>
        <v>1</v>
      </c>
      <c r="T3" s="33">
        <f>IF(B2&lt;&gt;B3,1,IF(C2=C3,#REF!+1,1))</f>
        <v>1</v>
      </c>
    </row>
    <row r="4" spans="1:20" s="25" customFormat="1" ht="52.5" x14ac:dyDescent="0.15">
      <c r="A4" s="52" t="str">
        <f ca="1">IF(B4&lt;&gt;"",表紙!$AB$1&amp;"-"&amp;"結合-"&amp;TEXT($S$1,"00")&amp;"-"&amp;TEXT(R4,"00")&amp;"-"&amp;TEXT(S4,"00")&amp;"-"&amp;TEXT(T4,"０00"),"")</f>
        <v>点群-結合-01-01-01-002</v>
      </c>
      <c r="B4" s="26" t="s">
        <v>452</v>
      </c>
      <c r="C4" s="26" t="s">
        <v>52</v>
      </c>
      <c r="D4" s="26" t="s">
        <v>69</v>
      </c>
      <c r="E4" s="43" t="s">
        <v>35</v>
      </c>
      <c r="F4" s="43"/>
      <c r="G4" s="34" t="s">
        <v>205</v>
      </c>
      <c r="H4" s="26" t="s">
        <v>199</v>
      </c>
      <c r="I4" s="93">
        <v>44889</v>
      </c>
      <c r="J4" s="94" t="s">
        <v>393</v>
      </c>
      <c r="K4" s="95" t="s">
        <v>394</v>
      </c>
      <c r="L4" s="26"/>
      <c r="M4" s="26"/>
      <c r="R4" s="33">
        <f t="shared" ref="R4:R67" si="0">IF(ROW()&lt;&gt;3,IF(B3&lt;&gt;B4,R3+1,R3),1)</f>
        <v>1</v>
      </c>
      <c r="S4" s="33">
        <f t="shared" ref="S4:S67" si="1">IF(B3=B4,IF(C3&lt;&gt;C4,S3+1,S3),1)</f>
        <v>1</v>
      </c>
      <c r="T4" s="33">
        <f t="shared" ref="T4:T67" si="2">IF(B3&lt;&gt;B4,1,IF(C3=C4,T3+1,1))</f>
        <v>2</v>
      </c>
    </row>
    <row r="5" spans="1:20" s="25" customFormat="1" ht="52.5" x14ac:dyDescent="0.15">
      <c r="A5" s="52" t="str">
        <f ca="1">IF(B5&lt;&gt;"",表紙!$AB$1&amp;"-"&amp;"結合-"&amp;TEXT($S$1,"00")&amp;"-"&amp;TEXT(R5,"00")&amp;"-"&amp;TEXT(S5,"00")&amp;"-"&amp;TEXT(T5,"０00"),"")</f>
        <v>点群-結合-01-01-01-003</v>
      </c>
      <c r="B5" s="26" t="s">
        <v>452</v>
      </c>
      <c r="C5" s="26" t="s">
        <v>52</v>
      </c>
      <c r="D5" s="26" t="s">
        <v>78</v>
      </c>
      <c r="E5" s="43" t="s">
        <v>35</v>
      </c>
      <c r="F5" s="43"/>
      <c r="G5" s="34" t="s">
        <v>206</v>
      </c>
      <c r="H5" s="34" t="s">
        <v>199</v>
      </c>
      <c r="I5" s="93">
        <v>44889</v>
      </c>
      <c r="J5" s="94" t="s">
        <v>393</v>
      </c>
      <c r="K5" s="95" t="s">
        <v>394</v>
      </c>
      <c r="L5" s="26"/>
      <c r="M5" s="26"/>
      <c r="R5" s="33">
        <f t="shared" si="0"/>
        <v>1</v>
      </c>
      <c r="S5" s="33">
        <f t="shared" si="1"/>
        <v>1</v>
      </c>
      <c r="T5" s="33">
        <f t="shared" si="2"/>
        <v>3</v>
      </c>
    </row>
    <row r="6" spans="1:20" s="25" customFormat="1" ht="52.5" x14ac:dyDescent="0.15">
      <c r="A6" s="52" t="str">
        <f ca="1">IF(B6&lt;&gt;"",表紙!$AB$1&amp;"-"&amp;"結合-"&amp;TEXT($S$1,"00")&amp;"-"&amp;TEXT(R6,"00")&amp;"-"&amp;TEXT(S6,"00")&amp;"-"&amp;TEXT(T6,"０00"),"")</f>
        <v>点群-結合-01-01-01-004</v>
      </c>
      <c r="B6" s="26" t="s">
        <v>452</v>
      </c>
      <c r="C6" s="26" t="s">
        <v>52</v>
      </c>
      <c r="D6" s="26" t="s">
        <v>79</v>
      </c>
      <c r="E6" s="43" t="s">
        <v>35</v>
      </c>
      <c r="F6" s="43"/>
      <c r="G6" s="34" t="s">
        <v>207</v>
      </c>
      <c r="H6" s="34" t="s">
        <v>199</v>
      </c>
      <c r="I6" s="93">
        <v>44889</v>
      </c>
      <c r="J6" s="94" t="s">
        <v>393</v>
      </c>
      <c r="K6" s="95" t="s">
        <v>394</v>
      </c>
      <c r="L6" s="26"/>
      <c r="M6" s="26"/>
      <c r="R6" s="33">
        <f t="shared" si="0"/>
        <v>1</v>
      </c>
      <c r="S6" s="33">
        <f t="shared" si="1"/>
        <v>1</v>
      </c>
      <c r="T6" s="33">
        <f t="shared" si="2"/>
        <v>4</v>
      </c>
    </row>
    <row r="7" spans="1:20" s="25" customFormat="1" ht="52.5" x14ac:dyDescent="0.15">
      <c r="A7" s="52" t="str">
        <f ca="1">IF(B7&lt;&gt;"",表紙!$AB$1&amp;"-"&amp;"結合-"&amp;TEXT($S$1,"00")&amp;"-"&amp;TEXT(R7,"00")&amp;"-"&amp;TEXT(S7,"00")&amp;"-"&amp;TEXT(T7,"０00"),"")</f>
        <v>点群-結合-01-01-01-005</v>
      </c>
      <c r="B7" s="26" t="s">
        <v>452</v>
      </c>
      <c r="C7" s="26" t="s">
        <v>52</v>
      </c>
      <c r="D7" s="26" t="s">
        <v>89</v>
      </c>
      <c r="E7" s="43" t="s">
        <v>35</v>
      </c>
      <c r="F7" s="43"/>
      <c r="G7" s="34" t="s">
        <v>208</v>
      </c>
      <c r="H7" s="34" t="s">
        <v>199</v>
      </c>
      <c r="I7" s="93">
        <v>44889</v>
      </c>
      <c r="J7" s="94" t="s">
        <v>393</v>
      </c>
      <c r="K7" s="95" t="s">
        <v>394</v>
      </c>
      <c r="L7" s="26"/>
      <c r="M7" s="26"/>
      <c r="R7" s="33">
        <f t="shared" si="0"/>
        <v>1</v>
      </c>
      <c r="S7" s="33">
        <f t="shared" si="1"/>
        <v>1</v>
      </c>
      <c r="T7" s="33">
        <f t="shared" si="2"/>
        <v>5</v>
      </c>
    </row>
    <row r="8" spans="1:20" s="25" customFormat="1" ht="52.5" x14ac:dyDescent="0.15">
      <c r="A8" s="52" t="str">
        <f ca="1">IF(B8&lt;&gt;"",表紙!$AB$1&amp;"-"&amp;"結合-"&amp;TEXT($S$1,"00")&amp;"-"&amp;TEXT(R8,"00")&amp;"-"&amp;TEXT(S8,"00")&amp;"-"&amp;TEXT(T8,"０00"),"")</f>
        <v>点群-結合-01-01-01-006</v>
      </c>
      <c r="B8" s="26" t="s">
        <v>452</v>
      </c>
      <c r="C8" s="26" t="s">
        <v>52</v>
      </c>
      <c r="D8" s="26" t="s">
        <v>88</v>
      </c>
      <c r="E8" s="43" t="s">
        <v>35</v>
      </c>
      <c r="F8" s="43"/>
      <c r="G8" s="34" t="s">
        <v>209</v>
      </c>
      <c r="H8" s="34" t="s">
        <v>199</v>
      </c>
      <c r="I8" s="93">
        <v>44889</v>
      </c>
      <c r="J8" s="94" t="s">
        <v>393</v>
      </c>
      <c r="K8" s="95" t="s">
        <v>394</v>
      </c>
      <c r="L8" s="26"/>
      <c r="M8" s="26"/>
      <c r="R8" s="33">
        <f t="shared" si="0"/>
        <v>1</v>
      </c>
      <c r="S8" s="33">
        <f t="shared" si="1"/>
        <v>1</v>
      </c>
      <c r="T8" s="33">
        <f t="shared" si="2"/>
        <v>6</v>
      </c>
    </row>
    <row r="9" spans="1:20" s="25" customFormat="1" ht="63" x14ac:dyDescent="0.15">
      <c r="A9" s="52" t="str">
        <f ca="1">IF(B9&lt;&gt;"",表紙!$AB$1&amp;"-"&amp;"結合-"&amp;TEXT($S$1,"00")&amp;"-"&amp;TEXT(R9,"00")&amp;"-"&amp;TEXT(S9,"00")&amp;"-"&amp;TEXT(T9,"０00"),"")</f>
        <v>点群-結合-01-01-02-001</v>
      </c>
      <c r="B9" s="26" t="s">
        <v>452</v>
      </c>
      <c r="C9" s="26" t="s">
        <v>54</v>
      </c>
      <c r="D9" s="34" t="s">
        <v>70</v>
      </c>
      <c r="E9" s="43" t="s">
        <v>35</v>
      </c>
      <c r="F9" s="43"/>
      <c r="G9" s="34" t="s">
        <v>408</v>
      </c>
      <c r="H9" s="34" t="s">
        <v>199</v>
      </c>
      <c r="I9" s="93">
        <v>44889</v>
      </c>
      <c r="J9" s="94" t="s">
        <v>393</v>
      </c>
      <c r="K9" s="95" t="s">
        <v>394</v>
      </c>
      <c r="L9" s="26"/>
      <c r="M9" s="26"/>
      <c r="R9" s="33">
        <f t="shared" si="0"/>
        <v>1</v>
      </c>
      <c r="S9" s="33">
        <f t="shared" si="1"/>
        <v>2</v>
      </c>
      <c r="T9" s="33">
        <f t="shared" si="2"/>
        <v>1</v>
      </c>
    </row>
    <row r="10" spans="1:20" s="25" customFormat="1" ht="63" x14ac:dyDescent="0.15">
      <c r="A10" s="52" t="str">
        <f ca="1">IF(B10&lt;&gt;"",表紙!$AB$1&amp;"-"&amp;"結合-"&amp;TEXT($S$1,"00")&amp;"-"&amp;TEXT(R10,"00")&amp;"-"&amp;TEXT(S10,"00")&amp;"-"&amp;TEXT(T10,"０00"),"")</f>
        <v>点群-結合-01-01-02-002</v>
      </c>
      <c r="B10" s="26" t="s">
        <v>452</v>
      </c>
      <c r="C10" s="26" t="s">
        <v>54</v>
      </c>
      <c r="D10" s="34" t="s">
        <v>71</v>
      </c>
      <c r="E10" s="43" t="s">
        <v>35</v>
      </c>
      <c r="F10" s="43"/>
      <c r="G10" s="34" t="s">
        <v>409</v>
      </c>
      <c r="H10" s="34" t="s">
        <v>199</v>
      </c>
      <c r="I10" s="93">
        <v>44889</v>
      </c>
      <c r="J10" s="94" t="s">
        <v>393</v>
      </c>
      <c r="K10" s="95" t="s">
        <v>394</v>
      </c>
      <c r="L10" s="26"/>
      <c r="M10" s="26"/>
      <c r="R10" s="33">
        <f t="shared" si="0"/>
        <v>1</v>
      </c>
      <c r="S10" s="33">
        <f t="shared" si="1"/>
        <v>2</v>
      </c>
      <c r="T10" s="33">
        <f t="shared" si="2"/>
        <v>2</v>
      </c>
    </row>
    <row r="11" spans="1:20" s="25" customFormat="1" ht="63" x14ac:dyDescent="0.15">
      <c r="A11" s="52" t="str">
        <f ca="1">IF(B11&lt;&gt;"",表紙!$AB$1&amp;"-"&amp;"結合-"&amp;TEXT($S$1,"00")&amp;"-"&amp;TEXT(R11,"00")&amp;"-"&amp;TEXT(S11,"00")&amp;"-"&amp;TEXT(T11,"０00"),"")</f>
        <v>点群-結合-01-01-02-003</v>
      </c>
      <c r="B11" s="26" t="s">
        <v>452</v>
      </c>
      <c r="C11" s="26" t="s">
        <v>54</v>
      </c>
      <c r="D11" s="34" t="s">
        <v>72</v>
      </c>
      <c r="E11" s="43" t="s">
        <v>35</v>
      </c>
      <c r="F11" s="43"/>
      <c r="G11" s="34" t="s">
        <v>410</v>
      </c>
      <c r="H11" s="34" t="s">
        <v>199</v>
      </c>
      <c r="I11" s="93">
        <v>44889</v>
      </c>
      <c r="J11" s="94" t="s">
        <v>393</v>
      </c>
      <c r="K11" s="95" t="s">
        <v>394</v>
      </c>
      <c r="L11" s="26"/>
      <c r="M11" s="26"/>
      <c r="R11" s="33">
        <f t="shared" si="0"/>
        <v>1</v>
      </c>
      <c r="S11" s="33">
        <f t="shared" si="1"/>
        <v>2</v>
      </c>
      <c r="T11" s="33">
        <f t="shared" si="2"/>
        <v>3</v>
      </c>
    </row>
    <row r="12" spans="1:20" s="25" customFormat="1" ht="63" x14ac:dyDescent="0.15">
      <c r="A12" s="52" t="str">
        <f ca="1">IF(B12&lt;&gt;"",表紙!$AB$1&amp;"-"&amp;"結合-"&amp;TEXT($S$1,"00")&amp;"-"&amp;TEXT(R12,"00")&amp;"-"&amp;TEXT(S12,"00")&amp;"-"&amp;TEXT(T12,"０00"),"")</f>
        <v>点群-結合-01-01-02-004</v>
      </c>
      <c r="B12" s="26" t="s">
        <v>452</v>
      </c>
      <c r="C12" s="26" t="s">
        <v>54</v>
      </c>
      <c r="D12" s="34" t="s">
        <v>73</v>
      </c>
      <c r="E12" s="43" t="s">
        <v>35</v>
      </c>
      <c r="F12" s="43"/>
      <c r="G12" s="34" t="s">
        <v>411</v>
      </c>
      <c r="H12" s="34" t="s">
        <v>199</v>
      </c>
      <c r="I12" s="93">
        <v>44889</v>
      </c>
      <c r="J12" s="94" t="s">
        <v>393</v>
      </c>
      <c r="K12" s="95" t="s">
        <v>394</v>
      </c>
      <c r="L12" s="26"/>
      <c r="M12" s="26"/>
      <c r="R12" s="33">
        <f t="shared" si="0"/>
        <v>1</v>
      </c>
      <c r="S12" s="33">
        <f t="shared" si="1"/>
        <v>2</v>
      </c>
      <c r="T12" s="33">
        <f t="shared" si="2"/>
        <v>4</v>
      </c>
    </row>
    <row r="13" spans="1:20" s="25" customFormat="1" ht="63" x14ac:dyDescent="0.15">
      <c r="A13" s="52" t="str">
        <f ca="1">IF(B13&lt;&gt;"",表紙!$AB$1&amp;"-"&amp;"結合-"&amp;TEXT($S$1,"00")&amp;"-"&amp;TEXT(R13,"00")&amp;"-"&amp;TEXT(S13,"00")&amp;"-"&amp;TEXT(T13,"０00"),"")</f>
        <v>点群-結合-01-01-02-005</v>
      </c>
      <c r="B13" s="26" t="s">
        <v>452</v>
      </c>
      <c r="C13" s="26" t="s">
        <v>54</v>
      </c>
      <c r="D13" s="34" t="s">
        <v>112</v>
      </c>
      <c r="E13" s="43" t="s">
        <v>35</v>
      </c>
      <c r="F13" s="43"/>
      <c r="G13" s="34" t="s">
        <v>412</v>
      </c>
      <c r="H13" s="34" t="s">
        <v>199</v>
      </c>
      <c r="I13" s="93">
        <v>44889</v>
      </c>
      <c r="J13" s="94" t="s">
        <v>393</v>
      </c>
      <c r="K13" s="95" t="s">
        <v>394</v>
      </c>
      <c r="L13" s="26"/>
      <c r="M13" s="26"/>
      <c r="R13" s="33">
        <f t="shared" si="0"/>
        <v>1</v>
      </c>
      <c r="S13" s="33">
        <f t="shared" si="1"/>
        <v>2</v>
      </c>
      <c r="T13" s="33">
        <f t="shared" si="2"/>
        <v>5</v>
      </c>
    </row>
    <row r="14" spans="1:20" s="25" customFormat="1" ht="63" x14ac:dyDescent="0.15">
      <c r="A14" s="52" t="str">
        <f ca="1">IF(B14&lt;&gt;"",表紙!$AB$1&amp;"-"&amp;"結合-"&amp;TEXT($S$1,"00")&amp;"-"&amp;TEXT(R14,"00")&amp;"-"&amp;TEXT(S14,"00")&amp;"-"&amp;TEXT(T14,"０00"),"")</f>
        <v>点群-結合-01-01-02-006</v>
      </c>
      <c r="B14" s="26" t="s">
        <v>452</v>
      </c>
      <c r="C14" s="26" t="s">
        <v>54</v>
      </c>
      <c r="D14" s="34" t="s">
        <v>113</v>
      </c>
      <c r="E14" s="43" t="s">
        <v>35</v>
      </c>
      <c r="F14" s="43"/>
      <c r="G14" s="34" t="s">
        <v>413</v>
      </c>
      <c r="H14" s="34" t="s">
        <v>199</v>
      </c>
      <c r="I14" s="93">
        <v>44889</v>
      </c>
      <c r="J14" s="94" t="s">
        <v>393</v>
      </c>
      <c r="K14" s="95" t="s">
        <v>394</v>
      </c>
      <c r="L14" s="26"/>
      <c r="M14" s="26"/>
      <c r="R14" s="33">
        <f t="shared" si="0"/>
        <v>1</v>
      </c>
      <c r="S14" s="33">
        <f t="shared" si="1"/>
        <v>2</v>
      </c>
      <c r="T14" s="33">
        <f t="shared" si="2"/>
        <v>6</v>
      </c>
    </row>
    <row r="15" spans="1:20" s="25" customFormat="1" ht="63" x14ac:dyDescent="0.15">
      <c r="A15" s="52" t="str">
        <f ca="1">IF(B15&lt;&gt;"",表紙!$AB$1&amp;"-"&amp;"結合-"&amp;TEXT($S$1,"00")&amp;"-"&amp;TEXT(R15,"00")&amp;"-"&amp;TEXT(S15,"00")&amp;"-"&amp;TEXT(T15,"０00"),"")</f>
        <v>点群-結合-01-01-03-001</v>
      </c>
      <c r="B15" s="26" t="s">
        <v>452</v>
      </c>
      <c r="C15" s="26" t="s">
        <v>55</v>
      </c>
      <c r="D15" s="34" t="s">
        <v>57</v>
      </c>
      <c r="E15" s="43" t="s">
        <v>35</v>
      </c>
      <c r="F15" s="43"/>
      <c r="G15" s="34" t="s">
        <v>414</v>
      </c>
      <c r="H15" s="34" t="s">
        <v>199</v>
      </c>
      <c r="I15" s="93">
        <v>44890</v>
      </c>
      <c r="J15" s="94" t="s">
        <v>404</v>
      </c>
      <c r="K15" s="95" t="s">
        <v>405</v>
      </c>
      <c r="L15" s="26"/>
      <c r="M15" s="26"/>
      <c r="R15" s="33">
        <f t="shared" si="0"/>
        <v>1</v>
      </c>
      <c r="S15" s="33">
        <f t="shared" si="1"/>
        <v>3</v>
      </c>
      <c r="T15" s="33">
        <f t="shared" si="2"/>
        <v>1</v>
      </c>
    </row>
    <row r="16" spans="1:20" s="25" customFormat="1" ht="42" x14ac:dyDescent="0.15">
      <c r="A16" s="52" t="str">
        <f ca="1">IF(B16&lt;&gt;"",表紙!$AB$1&amp;"-"&amp;"結合-"&amp;TEXT($S$1,"00")&amp;"-"&amp;TEXT(R16,"00")&amp;"-"&amp;TEXT(S16,"00")&amp;"-"&amp;TEXT(T16,"０00"),"")</f>
        <v>点群-結合-01-01-04-001</v>
      </c>
      <c r="B16" s="26" t="s">
        <v>452</v>
      </c>
      <c r="C16" s="26" t="s">
        <v>456</v>
      </c>
      <c r="D16" s="26" t="s">
        <v>62</v>
      </c>
      <c r="E16" s="43" t="s">
        <v>36</v>
      </c>
      <c r="F16" s="43"/>
      <c r="G16" s="34" t="s">
        <v>486</v>
      </c>
      <c r="H16" s="34" t="s">
        <v>269</v>
      </c>
      <c r="I16" s="93">
        <v>44889</v>
      </c>
      <c r="J16" s="94" t="s">
        <v>393</v>
      </c>
      <c r="K16" s="95" t="s">
        <v>394</v>
      </c>
      <c r="L16" s="26"/>
      <c r="M16" s="26"/>
      <c r="R16" s="33">
        <f t="shared" si="0"/>
        <v>1</v>
      </c>
      <c r="S16" s="33">
        <f t="shared" si="1"/>
        <v>4</v>
      </c>
      <c r="T16" s="33">
        <f t="shared" si="2"/>
        <v>1</v>
      </c>
    </row>
    <row r="17" spans="1:20" s="25" customFormat="1" ht="42" x14ac:dyDescent="0.15">
      <c r="A17" s="52" t="str">
        <f ca="1">IF(B17&lt;&gt;"",表紙!$AB$1&amp;"-"&amp;"結合-"&amp;TEXT($S$1,"00")&amp;"-"&amp;TEXT(R17,"00")&amp;"-"&amp;TEXT(S17,"00")&amp;"-"&amp;TEXT(T17,"０00"),"")</f>
        <v>点群-結合-01-01-04-002</v>
      </c>
      <c r="B17" s="26" t="s">
        <v>452</v>
      </c>
      <c r="C17" s="26" t="s">
        <v>456</v>
      </c>
      <c r="D17" s="26" t="s">
        <v>63</v>
      </c>
      <c r="E17" s="43" t="s">
        <v>36</v>
      </c>
      <c r="F17" s="43"/>
      <c r="G17" s="34" t="s">
        <v>487</v>
      </c>
      <c r="H17" s="34" t="s">
        <v>269</v>
      </c>
      <c r="I17" s="93">
        <v>44889</v>
      </c>
      <c r="J17" s="94" t="s">
        <v>393</v>
      </c>
      <c r="K17" s="95" t="s">
        <v>394</v>
      </c>
      <c r="L17" s="26"/>
      <c r="M17" s="26"/>
      <c r="R17" s="33">
        <f t="shared" si="0"/>
        <v>1</v>
      </c>
      <c r="S17" s="33">
        <f t="shared" si="1"/>
        <v>4</v>
      </c>
      <c r="T17" s="33">
        <f t="shared" si="2"/>
        <v>2</v>
      </c>
    </row>
    <row r="18" spans="1:20" s="25" customFormat="1" ht="42" x14ac:dyDescent="0.15">
      <c r="A18" s="52" t="str">
        <f ca="1">IF(B18&lt;&gt;"",表紙!$AB$1&amp;"-"&amp;"結合-"&amp;TEXT($S$1,"00")&amp;"-"&amp;TEXT(R18,"00")&amp;"-"&amp;TEXT(S18,"00")&amp;"-"&amp;TEXT(T18,"０00"),"")</f>
        <v>点群-結合-01-01-04-003</v>
      </c>
      <c r="B18" s="26" t="s">
        <v>452</v>
      </c>
      <c r="C18" s="26" t="s">
        <v>456</v>
      </c>
      <c r="D18" s="26" t="s">
        <v>64</v>
      </c>
      <c r="E18" s="43" t="s">
        <v>36</v>
      </c>
      <c r="F18" s="43"/>
      <c r="G18" s="34" t="s">
        <v>488</v>
      </c>
      <c r="H18" s="34" t="s">
        <v>269</v>
      </c>
      <c r="I18" s="93">
        <v>44889</v>
      </c>
      <c r="J18" s="94" t="s">
        <v>393</v>
      </c>
      <c r="K18" s="95" t="s">
        <v>394</v>
      </c>
      <c r="L18" s="26"/>
      <c r="M18" s="26"/>
      <c r="R18" s="33">
        <f t="shared" si="0"/>
        <v>1</v>
      </c>
      <c r="S18" s="33">
        <f t="shared" si="1"/>
        <v>4</v>
      </c>
      <c r="T18" s="33">
        <f t="shared" si="2"/>
        <v>3</v>
      </c>
    </row>
    <row r="19" spans="1:20" s="25" customFormat="1" ht="42" x14ac:dyDescent="0.15">
      <c r="A19" s="52" t="str">
        <f ca="1">IF(B19&lt;&gt;"",表紙!$AB$1&amp;"-"&amp;"結合-"&amp;TEXT($S$1,"00")&amp;"-"&amp;TEXT(R19,"00")&amp;"-"&amp;TEXT(S19,"00")&amp;"-"&amp;TEXT(T19,"０00"),"")</f>
        <v>点群-結合-01-01-04-004</v>
      </c>
      <c r="B19" s="26" t="s">
        <v>452</v>
      </c>
      <c r="C19" s="26" t="s">
        <v>456</v>
      </c>
      <c r="D19" s="26" t="s">
        <v>65</v>
      </c>
      <c r="E19" s="43" t="s">
        <v>36</v>
      </c>
      <c r="F19" s="43"/>
      <c r="G19" s="34" t="s">
        <v>489</v>
      </c>
      <c r="H19" s="34" t="s">
        <v>269</v>
      </c>
      <c r="I19" s="93">
        <v>44889</v>
      </c>
      <c r="J19" s="94" t="s">
        <v>393</v>
      </c>
      <c r="K19" s="95" t="s">
        <v>394</v>
      </c>
      <c r="L19" s="26"/>
      <c r="M19" s="26"/>
      <c r="R19" s="33">
        <f t="shared" si="0"/>
        <v>1</v>
      </c>
      <c r="S19" s="33">
        <f t="shared" si="1"/>
        <v>4</v>
      </c>
      <c r="T19" s="33">
        <f t="shared" si="2"/>
        <v>4</v>
      </c>
    </row>
    <row r="20" spans="1:20" s="25" customFormat="1" ht="42" x14ac:dyDescent="0.15">
      <c r="A20" s="52" t="str">
        <f ca="1">IF(B20&lt;&gt;"",表紙!$AB$1&amp;"-"&amp;"結合-"&amp;TEXT($S$1,"00")&amp;"-"&amp;TEXT(R20,"00")&amp;"-"&amp;TEXT(S20,"00")&amp;"-"&amp;TEXT(T20,"０00"),"")</f>
        <v>点群-結合-01-01-04-005</v>
      </c>
      <c r="B20" s="26" t="s">
        <v>452</v>
      </c>
      <c r="C20" s="26" t="s">
        <v>456</v>
      </c>
      <c r="D20" s="26" t="s">
        <v>66</v>
      </c>
      <c r="E20" s="43" t="s">
        <v>36</v>
      </c>
      <c r="F20" s="43"/>
      <c r="G20" s="34" t="s">
        <v>490</v>
      </c>
      <c r="H20" s="34" t="s">
        <v>269</v>
      </c>
      <c r="I20" s="93">
        <v>44889</v>
      </c>
      <c r="J20" s="94" t="s">
        <v>393</v>
      </c>
      <c r="K20" s="95" t="s">
        <v>394</v>
      </c>
      <c r="L20" s="26"/>
      <c r="M20" s="26"/>
      <c r="R20" s="33">
        <f t="shared" si="0"/>
        <v>1</v>
      </c>
      <c r="S20" s="33">
        <f t="shared" si="1"/>
        <v>4</v>
      </c>
      <c r="T20" s="33">
        <f t="shared" si="2"/>
        <v>5</v>
      </c>
    </row>
    <row r="21" spans="1:20" s="25" customFormat="1" ht="42" x14ac:dyDescent="0.15">
      <c r="A21" s="52" t="str">
        <f ca="1">IF(B21&lt;&gt;"",表紙!$AB$1&amp;"-"&amp;"結合-"&amp;TEXT($S$1,"00")&amp;"-"&amp;TEXT(R21,"00")&amp;"-"&amp;TEXT(S21,"00")&amp;"-"&amp;TEXT(T21,"０00"),"")</f>
        <v>点群-結合-01-01-04-006</v>
      </c>
      <c r="B21" s="26" t="s">
        <v>452</v>
      </c>
      <c r="C21" s="26" t="s">
        <v>456</v>
      </c>
      <c r="D21" s="26" t="s">
        <v>67</v>
      </c>
      <c r="E21" s="43" t="s">
        <v>36</v>
      </c>
      <c r="F21" s="43"/>
      <c r="G21" s="34" t="s">
        <v>491</v>
      </c>
      <c r="H21" s="34" t="s">
        <v>269</v>
      </c>
      <c r="I21" s="93">
        <v>44889</v>
      </c>
      <c r="J21" s="94" t="s">
        <v>393</v>
      </c>
      <c r="K21" s="95" t="s">
        <v>394</v>
      </c>
      <c r="L21" s="26"/>
      <c r="M21" s="26"/>
      <c r="R21" s="33">
        <f t="shared" si="0"/>
        <v>1</v>
      </c>
      <c r="S21" s="33">
        <f t="shared" si="1"/>
        <v>4</v>
      </c>
      <c r="T21" s="33">
        <f t="shared" si="2"/>
        <v>6</v>
      </c>
    </row>
    <row r="22" spans="1:20" s="25" customFormat="1" ht="52.5" x14ac:dyDescent="0.15">
      <c r="A22" s="52" t="str">
        <f ca="1">IF(B22&lt;&gt;"",表紙!$AB$1&amp;"-"&amp;"結合-"&amp;TEXT($S$1,"00")&amp;"-"&amp;TEXT(R22,"00")&amp;"-"&amp;TEXT(S22,"00")&amp;"-"&amp;TEXT(T22,"０00"),"")</f>
        <v>点群-結合-01-01-05-001</v>
      </c>
      <c r="B22" s="26" t="s">
        <v>452</v>
      </c>
      <c r="C22" s="26" t="s">
        <v>457</v>
      </c>
      <c r="D22" s="26" t="s">
        <v>74</v>
      </c>
      <c r="E22" s="43" t="s">
        <v>36</v>
      </c>
      <c r="F22" s="43"/>
      <c r="G22" s="34" t="s">
        <v>503</v>
      </c>
      <c r="H22" s="34" t="s">
        <v>269</v>
      </c>
      <c r="I22" s="93">
        <v>44889</v>
      </c>
      <c r="J22" s="94" t="s">
        <v>393</v>
      </c>
      <c r="K22" s="95" t="s">
        <v>394</v>
      </c>
      <c r="L22" s="26"/>
      <c r="M22" s="26"/>
      <c r="R22" s="33">
        <f t="shared" si="0"/>
        <v>1</v>
      </c>
      <c r="S22" s="33">
        <f t="shared" si="1"/>
        <v>5</v>
      </c>
      <c r="T22" s="33">
        <f t="shared" si="2"/>
        <v>1</v>
      </c>
    </row>
    <row r="23" spans="1:20" s="25" customFormat="1" ht="21" x14ac:dyDescent="0.15">
      <c r="A23" s="52" t="str">
        <f ca="1">IF(B23&lt;&gt;"",表紙!$AB$1&amp;"-"&amp;"結合-"&amp;TEXT($S$1,"00")&amp;"-"&amp;TEXT(R23,"00")&amp;"-"&amp;TEXT(S23,"00")&amp;"-"&amp;TEXT(T23,"０00"),"")</f>
        <v>点群-結合-01-01-05-002</v>
      </c>
      <c r="B23" s="26" t="s">
        <v>452</v>
      </c>
      <c r="C23" s="26" t="s">
        <v>457</v>
      </c>
      <c r="D23" s="26" t="s">
        <v>75</v>
      </c>
      <c r="E23" s="43" t="s">
        <v>36</v>
      </c>
      <c r="F23" s="43"/>
      <c r="G23" s="34"/>
      <c r="H23" s="34"/>
      <c r="I23" s="96"/>
      <c r="J23" s="97"/>
      <c r="K23" s="97"/>
      <c r="L23" s="26"/>
      <c r="M23" s="26" t="str">
        <f ca="1">$A$22</f>
        <v>点群-結合-01-01-05-001</v>
      </c>
      <c r="R23" s="33">
        <f t="shared" si="0"/>
        <v>1</v>
      </c>
      <c r="S23" s="33">
        <f t="shared" si="1"/>
        <v>5</v>
      </c>
      <c r="T23" s="33">
        <f t="shared" si="2"/>
        <v>2</v>
      </c>
    </row>
    <row r="24" spans="1:20" s="25" customFormat="1" ht="115.5" x14ac:dyDescent="0.15">
      <c r="A24" s="52" t="str">
        <f ca="1">IF(B24&lt;&gt;"",表紙!$AB$1&amp;"-"&amp;"結合-"&amp;TEXT($S$1,"00")&amp;"-"&amp;TEXT(R24,"00")&amp;"-"&amp;TEXT(S24,"00")&amp;"-"&amp;TEXT(T24,"０00"),"")</f>
        <v>点群-結合-01-01-06-001</v>
      </c>
      <c r="B24" s="26" t="s">
        <v>452</v>
      </c>
      <c r="C24" s="26" t="s">
        <v>453</v>
      </c>
      <c r="D24" s="26" t="s">
        <v>57</v>
      </c>
      <c r="E24" s="43" t="s">
        <v>36</v>
      </c>
      <c r="F24" s="43"/>
      <c r="G24" s="34" t="s">
        <v>415</v>
      </c>
      <c r="H24" s="34" t="s">
        <v>270</v>
      </c>
      <c r="I24" s="93">
        <v>44889</v>
      </c>
      <c r="J24" s="94" t="s">
        <v>393</v>
      </c>
      <c r="K24" s="95" t="s">
        <v>394</v>
      </c>
      <c r="L24" s="26"/>
      <c r="M24" s="26"/>
      <c r="R24" s="33">
        <f t="shared" si="0"/>
        <v>1</v>
      </c>
      <c r="S24" s="33">
        <f t="shared" si="1"/>
        <v>6</v>
      </c>
      <c r="T24" s="33">
        <f t="shared" si="2"/>
        <v>1</v>
      </c>
    </row>
    <row r="25" spans="1:20" s="25" customFormat="1" ht="115.5" x14ac:dyDescent="0.15">
      <c r="A25" s="52" t="str">
        <f ca="1">IF(B25&lt;&gt;"",表紙!$AB$1&amp;"-"&amp;"結合-"&amp;TEXT($S$1,"00")&amp;"-"&amp;TEXT(R25,"00")&amp;"-"&amp;TEXT(S25,"00")&amp;"-"&amp;TEXT(T25,"０00"),"")</f>
        <v>点群-結合-01-01-07-001</v>
      </c>
      <c r="B25" s="26" t="s">
        <v>452</v>
      </c>
      <c r="C25" s="26" t="s">
        <v>454</v>
      </c>
      <c r="D25" s="26" t="s">
        <v>57</v>
      </c>
      <c r="E25" s="43" t="s">
        <v>36</v>
      </c>
      <c r="F25" s="43"/>
      <c r="G25" s="34" t="s">
        <v>416</v>
      </c>
      <c r="H25" s="34" t="s">
        <v>610</v>
      </c>
      <c r="I25" s="93">
        <v>44889</v>
      </c>
      <c r="J25" s="94" t="s">
        <v>393</v>
      </c>
      <c r="K25" s="95" t="s">
        <v>394</v>
      </c>
      <c r="L25" s="26"/>
      <c r="M25" s="26"/>
      <c r="R25" s="33">
        <f t="shared" si="0"/>
        <v>1</v>
      </c>
      <c r="S25" s="33">
        <f t="shared" si="1"/>
        <v>7</v>
      </c>
      <c r="T25" s="33">
        <f t="shared" si="2"/>
        <v>1</v>
      </c>
    </row>
    <row r="26" spans="1:20" s="25" customFormat="1" ht="42" x14ac:dyDescent="0.15">
      <c r="A26" s="52" t="str">
        <f ca="1">IF(B26&lt;&gt;"",表紙!$AB$1&amp;"-"&amp;"結合-"&amp;TEXT($S$1,"00")&amp;"-"&amp;TEXT(R26,"00")&amp;"-"&amp;TEXT(S26,"00")&amp;"-"&amp;TEXT(T26,"０00"),"")</f>
        <v>点群-結合-01-01-08-001</v>
      </c>
      <c r="B26" s="26" t="s">
        <v>452</v>
      </c>
      <c r="C26" s="26" t="s">
        <v>60</v>
      </c>
      <c r="D26" s="26" t="s">
        <v>77</v>
      </c>
      <c r="E26" s="43" t="s">
        <v>36</v>
      </c>
      <c r="F26" s="43"/>
      <c r="G26" s="34" t="s">
        <v>492</v>
      </c>
      <c r="H26" s="34" t="s">
        <v>269</v>
      </c>
      <c r="I26" s="93">
        <v>44889</v>
      </c>
      <c r="J26" s="94" t="s">
        <v>393</v>
      </c>
      <c r="K26" s="95" t="s">
        <v>394</v>
      </c>
      <c r="L26" s="26"/>
      <c r="M26" s="26"/>
      <c r="R26" s="33">
        <f t="shared" si="0"/>
        <v>1</v>
      </c>
      <c r="S26" s="33">
        <f t="shared" si="1"/>
        <v>8</v>
      </c>
      <c r="T26" s="33">
        <f t="shared" si="2"/>
        <v>1</v>
      </c>
    </row>
    <row r="27" spans="1:20" s="25" customFormat="1" ht="42" x14ac:dyDescent="0.15">
      <c r="A27" s="52" t="str">
        <f ca="1">IF(B27&lt;&gt;"",表紙!$AB$1&amp;"-"&amp;"結合-"&amp;TEXT($S$1,"00")&amp;"-"&amp;TEXT(R27,"00")&amp;"-"&amp;TEXT(S27,"00")&amp;"-"&amp;TEXT(T27,"０00"),"")</f>
        <v>点群-結合-01-01-08-002</v>
      </c>
      <c r="B27" s="26" t="s">
        <v>452</v>
      </c>
      <c r="C27" s="26" t="s">
        <v>60</v>
      </c>
      <c r="D27" s="26" t="s">
        <v>82</v>
      </c>
      <c r="E27" s="43" t="s">
        <v>36</v>
      </c>
      <c r="F27" s="43"/>
      <c r="G27" s="34" t="s">
        <v>493</v>
      </c>
      <c r="H27" s="34" t="s">
        <v>269</v>
      </c>
      <c r="I27" s="93">
        <v>44889</v>
      </c>
      <c r="J27" s="94" t="s">
        <v>393</v>
      </c>
      <c r="K27" s="95" t="s">
        <v>394</v>
      </c>
      <c r="L27" s="26"/>
      <c r="M27" s="26"/>
      <c r="R27" s="33">
        <f t="shared" si="0"/>
        <v>1</v>
      </c>
      <c r="S27" s="33">
        <f t="shared" si="1"/>
        <v>8</v>
      </c>
      <c r="T27" s="33">
        <f t="shared" si="2"/>
        <v>2</v>
      </c>
    </row>
    <row r="28" spans="1:20" s="25" customFormat="1" ht="42" x14ac:dyDescent="0.15">
      <c r="A28" s="52" t="str">
        <f ca="1">IF(B28&lt;&gt;"",表紙!$AB$1&amp;"-"&amp;"結合-"&amp;TEXT($S$1,"00")&amp;"-"&amp;TEXT(R28,"00")&amp;"-"&amp;TEXT(S28,"00")&amp;"-"&amp;TEXT(T28,"０00"),"")</f>
        <v>点群-結合-01-01-08-003</v>
      </c>
      <c r="B28" s="26" t="s">
        <v>452</v>
      </c>
      <c r="C28" s="26" t="s">
        <v>60</v>
      </c>
      <c r="D28" s="26" t="s">
        <v>80</v>
      </c>
      <c r="E28" s="43" t="s">
        <v>36</v>
      </c>
      <c r="F28" s="43"/>
      <c r="G28" s="34" t="s">
        <v>494</v>
      </c>
      <c r="H28" s="34" t="s">
        <v>269</v>
      </c>
      <c r="I28" s="93">
        <v>44889</v>
      </c>
      <c r="J28" s="94" t="s">
        <v>393</v>
      </c>
      <c r="K28" s="95" t="s">
        <v>394</v>
      </c>
      <c r="L28" s="26"/>
      <c r="M28" s="26"/>
      <c r="R28" s="33">
        <f t="shared" si="0"/>
        <v>1</v>
      </c>
      <c r="S28" s="33">
        <f t="shared" si="1"/>
        <v>8</v>
      </c>
      <c r="T28" s="33">
        <f t="shared" si="2"/>
        <v>3</v>
      </c>
    </row>
    <row r="29" spans="1:20" s="25" customFormat="1" ht="42" x14ac:dyDescent="0.15">
      <c r="A29" s="52" t="str">
        <f ca="1">IF(B29&lt;&gt;"",表紙!$AB$1&amp;"-"&amp;"結合-"&amp;TEXT($S$1,"00")&amp;"-"&amp;TEXT(R29,"00")&amp;"-"&amp;TEXT(S29,"00")&amp;"-"&amp;TEXT(T29,"０00"),"")</f>
        <v>点群-結合-01-01-08-004</v>
      </c>
      <c r="B29" s="26" t="s">
        <v>452</v>
      </c>
      <c r="C29" s="26" t="s">
        <v>60</v>
      </c>
      <c r="D29" s="26" t="s">
        <v>81</v>
      </c>
      <c r="E29" s="43" t="s">
        <v>36</v>
      </c>
      <c r="F29" s="43"/>
      <c r="G29" s="34" t="s">
        <v>495</v>
      </c>
      <c r="H29" s="34" t="s">
        <v>269</v>
      </c>
      <c r="I29" s="93">
        <v>44889</v>
      </c>
      <c r="J29" s="94" t="s">
        <v>393</v>
      </c>
      <c r="K29" s="95" t="s">
        <v>394</v>
      </c>
      <c r="L29" s="26"/>
      <c r="M29" s="26"/>
      <c r="R29" s="33">
        <f t="shared" si="0"/>
        <v>1</v>
      </c>
      <c r="S29" s="33">
        <f t="shared" si="1"/>
        <v>8</v>
      </c>
      <c r="T29" s="33">
        <f t="shared" si="2"/>
        <v>4</v>
      </c>
    </row>
    <row r="30" spans="1:20" s="25" customFormat="1" ht="52.5" x14ac:dyDescent="0.15">
      <c r="A30" s="52" t="str">
        <f ca="1">IF(B30&lt;&gt;"",表紙!$AB$1&amp;"-"&amp;"結合-"&amp;TEXT($S$1,"00")&amp;"-"&amp;TEXT(R30,"00")&amp;"-"&amp;TEXT(S30,"00")&amp;"-"&amp;TEXT(T30,"０00"),"")</f>
        <v>点群-結合-01-01-08-005</v>
      </c>
      <c r="B30" s="26" t="s">
        <v>452</v>
      </c>
      <c r="C30" s="26" t="s">
        <v>60</v>
      </c>
      <c r="D30" s="26" t="s">
        <v>87</v>
      </c>
      <c r="E30" s="43" t="s">
        <v>36</v>
      </c>
      <c r="F30" s="43"/>
      <c r="G30" s="34" t="s">
        <v>496</v>
      </c>
      <c r="H30" s="34" t="s">
        <v>269</v>
      </c>
      <c r="I30" s="93">
        <v>44889</v>
      </c>
      <c r="J30" s="94" t="s">
        <v>393</v>
      </c>
      <c r="K30" s="95" t="s">
        <v>394</v>
      </c>
      <c r="L30" s="26"/>
      <c r="M30" s="26"/>
      <c r="R30" s="33">
        <f t="shared" si="0"/>
        <v>1</v>
      </c>
      <c r="S30" s="33">
        <f t="shared" si="1"/>
        <v>8</v>
      </c>
      <c r="T30" s="33">
        <f t="shared" si="2"/>
        <v>5</v>
      </c>
    </row>
    <row r="31" spans="1:20" s="25" customFormat="1" ht="21" x14ac:dyDescent="0.15">
      <c r="A31" s="52" t="str">
        <f ca="1">IF(B31&lt;&gt;"",表紙!$AB$1&amp;"-"&amp;"結合-"&amp;TEXT($S$1,"00")&amp;"-"&amp;TEXT(R31,"00")&amp;"-"&amp;TEXT(S31,"00")&amp;"-"&amp;TEXT(T31,"０00"),"")</f>
        <v>点群-結合-01-01-09-001</v>
      </c>
      <c r="B31" s="26" t="s">
        <v>452</v>
      </c>
      <c r="C31" s="26" t="s">
        <v>167</v>
      </c>
      <c r="D31" s="26" t="s">
        <v>83</v>
      </c>
      <c r="E31" s="43" t="s">
        <v>36</v>
      </c>
      <c r="F31" s="43"/>
      <c r="G31" s="34"/>
      <c r="H31" s="34"/>
      <c r="I31" s="96"/>
      <c r="J31" s="97"/>
      <c r="K31" s="97"/>
      <c r="L31" s="26"/>
      <c r="M31" s="26" t="str">
        <f ca="1">$A$21</f>
        <v>点群-結合-01-01-04-006</v>
      </c>
      <c r="R31" s="33">
        <f t="shared" si="0"/>
        <v>1</v>
      </c>
      <c r="S31" s="33">
        <f t="shared" si="1"/>
        <v>9</v>
      </c>
      <c r="T31" s="33">
        <f t="shared" si="2"/>
        <v>1</v>
      </c>
    </row>
    <row r="32" spans="1:20" s="25" customFormat="1" ht="21" x14ac:dyDescent="0.15">
      <c r="A32" s="52" t="str">
        <f ca="1">IF(B32&lt;&gt;"",表紙!$AB$1&amp;"-"&amp;"結合-"&amp;TEXT($S$1,"00")&amp;"-"&amp;TEXT(R32,"00")&amp;"-"&amp;TEXT(S32,"00")&amp;"-"&amp;TEXT(T32,"０00"),"")</f>
        <v>点群-結合-01-01-09-002</v>
      </c>
      <c r="B32" s="26" t="s">
        <v>452</v>
      </c>
      <c r="C32" s="26" t="s">
        <v>61</v>
      </c>
      <c r="D32" s="26" t="s">
        <v>84</v>
      </c>
      <c r="E32" s="43" t="s">
        <v>36</v>
      </c>
      <c r="F32" s="43"/>
      <c r="G32" s="34"/>
      <c r="H32" s="34"/>
      <c r="I32" s="96"/>
      <c r="J32" s="97"/>
      <c r="K32" s="97"/>
      <c r="L32" s="26"/>
      <c r="M32" s="26" t="str">
        <f ca="1">$A$21</f>
        <v>点群-結合-01-01-04-006</v>
      </c>
      <c r="R32" s="33">
        <f t="shared" si="0"/>
        <v>1</v>
      </c>
      <c r="S32" s="33">
        <f t="shared" si="1"/>
        <v>9</v>
      </c>
      <c r="T32" s="33">
        <f t="shared" si="2"/>
        <v>2</v>
      </c>
    </row>
    <row r="33" spans="1:20" s="25" customFormat="1" ht="42" x14ac:dyDescent="0.15">
      <c r="A33" s="52" t="str">
        <f ca="1">IF(B33&lt;&gt;"",表紙!$AB$1&amp;"-"&amp;"結合-"&amp;TEXT($S$1,"00")&amp;"-"&amp;TEXT(R33,"00")&amp;"-"&amp;TEXT(S33,"00")&amp;"-"&amp;TEXT(T33,"０00"),"")</f>
        <v>点群-結合-01-01-09-003</v>
      </c>
      <c r="B33" s="26" t="s">
        <v>452</v>
      </c>
      <c r="C33" s="26" t="s">
        <v>61</v>
      </c>
      <c r="D33" s="26" t="s">
        <v>85</v>
      </c>
      <c r="E33" s="43" t="s">
        <v>36</v>
      </c>
      <c r="F33" s="43"/>
      <c r="G33" s="34" t="s">
        <v>497</v>
      </c>
      <c r="H33" s="34" t="s">
        <v>269</v>
      </c>
      <c r="I33" s="93">
        <v>44889</v>
      </c>
      <c r="J33" s="94" t="s">
        <v>393</v>
      </c>
      <c r="K33" s="95" t="s">
        <v>394</v>
      </c>
      <c r="L33" s="26"/>
      <c r="M33" s="26"/>
      <c r="R33" s="33">
        <f t="shared" si="0"/>
        <v>1</v>
      </c>
      <c r="S33" s="33">
        <f t="shared" si="1"/>
        <v>9</v>
      </c>
      <c r="T33" s="33">
        <f t="shared" si="2"/>
        <v>3</v>
      </c>
    </row>
    <row r="34" spans="1:20" s="25" customFormat="1" ht="42" x14ac:dyDescent="0.15">
      <c r="A34" s="52" t="str">
        <f ca="1">IF(B34&lt;&gt;"",表紙!$AB$1&amp;"-"&amp;"結合-"&amp;TEXT($S$1,"00")&amp;"-"&amp;TEXT(R34,"00")&amp;"-"&amp;TEXT(S34,"00")&amp;"-"&amp;TEXT(T34,"０00"),"")</f>
        <v>点群-結合-01-01-09-004</v>
      </c>
      <c r="B34" s="26" t="s">
        <v>452</v>
      </c>
      <c r="C34" s="26" t="s">
        <v>61</v>
      </c>
      <c r="D34" s="26" t="s">
        <v>86</v>
      </c>
      <c r="E34" s="43" t="s">
        <v>36</v>
      </c>
      <c r="F34" s="43"/>
      <c r="G34" s="34" t="s">
        <v>498</v>
      </c>
      <c r="H34" s="34" t="s">
        <v>269</v>
      </c>
      <c r="I34" s="93">
        <v>44889</v>
      </c>
      <c r="J34" s="94" t="s">
        <v>393</v>
      </c>
      <c r="K34" s="95" t="s">
        <v>394</v>
      </c>
      <c r="L34" s="26"/>
      <c r="M34" s="26"/>
      <c r="R34" s="33">
        <f t="shared" si="0"/>
        <v>1</v>
      </c>
      <c r="S34" s="33">
        <f t="shared" si="1"/>
        <v>9</v>
      </c>
      <c r="T34" s="33">
        <f t="shared" si="2"/>
        <v>4</v>
      </c>
    </row>
    <row r="35" spans="1:20" s="25" customFormat="1" ht="42" x14ac:dyDescent="0.15">
      <c r="A35" s="52" t="str">
        <f ca="1">IF(B35&lt;&gt;"",表紙!$AB$1&amp;"-"&amp;"結合-"&amp;TEXT($S$1,"00")&amp;"-"&amp;TEXT(R35,"00")&amp;"-"&amp;TEXT(S35,"00")&amp;"-"&amp;TEXT(T35,"０00"),"")</f>
        <v>点群-結合-01-01-10-001</v>
      </c>
      <c r="B35" s="26" t="s">
        <v>452</v>
      </c>
      <c r="C35" s="26" t="s">
        <v>53</v>
      </c>
      <c r="D35" s="26" t="s">
        <v>58</v>
      </c>
      <c r="E35" s="43" t="s">
        <v>36</v>
      </c>
      <c r="F35" s="43"/>
      <c r="G35" s="34" t="s">
        <v>499</v>
      </c>
      <c r="H35" s="34" t="s">
        <v>269</v>
      </c>
      <c r="I35" s="93">
        <v>44889</v>
      </c>
      <c r="J35" s="94" t="s">
        <v>393</v>
      </c>
      <c r="K35" s="95" t="s">
        <v>394</v>
      </c>
      <c r="L35" s="26"/>
      <c r="M35" s="26"/>
      <c r="R35" s="33">
        <f t="shared" si="0"/>
        <v>1</v>
      </c>
      <c r="S35" s="33">
        <f t="shared" si="1"/>
        <v>10</v>
      </c>
      <c r="T35" s="33">
        <f t="shared" si="2"/>
        <v>1</v>
      </c>
    </row>
    <row r="36" spans="1:20" s="25" customFormat="1" ht="42" x14ac:dyDescent="0.15">
      <c r="A36" s="52" t="str">
        <f ca="1">IF(B36&lt;&gt;"",表紙!$AB$1&amp;"-"&amp;"結合-"&amp;TEXT($S$1,"00")&amp;"-"&amp;TEXT(R36,"00")&amp;"-"&amp;TEXT(S36,"00")&amp;"-"&amp;TEXT(T36,"０00"),"")</f>
        <v>点群-結合-01-01-10-002</v>
      </c>
      <c r="B36" s="26" t="s">
        <v>452</v>
      </c>
      <c r="C36" s="26" t="s">
        <v>53</v>
      </c>
      <c r="D36" s="26" t="s">
        <v>59</v>
      </c>
      <c r="E36" s="43" t="s">
        <v>36</v>
      </c>
      <c r="F36" s="43"/>
      <c r="G36" s="34" t="s">
        <v>500</v>
      </c>
      <c r="H36" s="34" t="s">
        <v>269</v>
      </c>
      <c r="I36" s="93">
        <v>44889</v>
      </c>
      <c r="J36" s="94" t="s">
        <v>393</v>
      </c>
      <c r="K36" s="95" t="s">
        <v>394</v>
      </c>
      <c r="L36" s="26"/>
      <c r="M36" s="26"/>
      <c r="R36" s="33">
        <f t="shared" si="0"/>
        <v>1</v>
      </c>
      <c r="S36" s="33">
        <f t="shared" si="1"/>
        <v>10</v>
      </c>
      <c r="T36" s="33">
        <f t="shared" si="2"/>
        <v>2</v>
      </c>
    </row>
    <row r="37" spans="1:20" s="25" customFormat="1" ht="21" x14ac:dyDescent="0.15">
      <c r="A37" s="52" t="str">
        <f ca="1">IF(B37&lt;&gt;"",表紙!$AB$1&amp;"-"&amp;"結合-"&amp;TEXT($S$1,"00")&amp;"-"&amp;TEXT(R37,"00")&amp;"-"&amp;TEXT(S37,"00")&amp;"-"&amp;TEXT(T37,"０00"),"")</f>
        <v>点群-結合-01-01-11-001</v>
      </c>
      <c r="B37" s="26" t="s">
        <v>452</v>
      </c>
      <c r="C37" s="26" t="s">
        <v>90</v>
      </c>
      <c r="D37" s="26" t="s">
        <v>91</v>
      </c>
      <c r="E37" s="43" t="s">
        <v>36</v>
      </c>
      <c r="F37" s="43"/>
      <c r="G37" s="34"/>
      <c r="H37" s="34"/>
      <c r="I37" s="96"/>
      <c r="J37" s="97"/>
      <c r="K37" s="97"/>
      <c r="L37" s="26"/>
      <c r="M37" s="26" t="str">
        <f ca="1">$A$28</f>
        <v>点群-結合-01-01-08-003</v>
      </c>
      <c r="R37" s="33">
        <f t="shared" si="0"/>
        <v>1</v>
      </c>
      <c r="S37" s="33">
        <f t="shared" si="1"/>
        <v>11</v>
      </c>
      <c r="T37" s="33">
        <f t="shared" si="2"/>
        <v>1</v>
      </c>
    </row>
    <row r="38" spans="1:20" s="25" customFormat="1" ht="21" x14ac:dyDescent="0.15">
      <c r="A38" s="52" t="str">
        <f ca="1">IF(B38&lt;&gt;"",表紙!$AB$1&amp;"-"&amp;"結合-"&amp;TEXT($S$1,"00")&amp;"-"&amp;TEXT(R38,"00")&amp;"-"&amp;TEXT(S38,"00")&amp;"-"&amp;TEXT(T38,"０00"),"")</f>
        <v>点群-結合-01-01-11-002</v>
      </c>
      <c r="B38" s="26" t="s">
        <v>452</v>
      </c>
      <c r="C38" s="26" t="s">
        <v>90</v>
      </c>
      <c r="D38" s="26" t="s">
        <v>92</v>
      </c>
      <c r="E38" s="43" t="s">
        <v>36</v>
      </c>
      <c r="F38" s="43"/>
      <c r="G38" s="34"/>
      <c r="H38" s="34"/>
      <c r="I38" s="96"/>
      <c r="J38" s="97"/>
      <c r="K38" s="97"/>
      <c r="L38" s="26"/>
      <c r="M38" s="26" t="str">
        <f ca="1">$A$29</f>
        <v>点群-結合-01-01-08-004</v>
      </c>
      <c r="R38" s="33">
        <f t="shared" si="0"/>
        <v>1</v>
      </c>
      <c r="S38" s="33">
        <f t="shared" si="1"/>
        <v>11</v>
      </c>
      <c r="T38" s="33">
        <f t="shared" si="2"/>
        <v>2</v>
      </c>
    </row>
    <row r="39" spans="1:20" s="25" customFormat="1" ht="42" x14ac:dyDescent="0.15">
      <c r="A39" s="52" t="str">
        <f ca="1">IF(B39&lt;&gt;"",表紙!$AB$1&amp;"-"&amp;"結合-"&amp;TEXT($S$1,"00")&amp;"-"&amp;TEXT(R39,"00")&amp;"-"&amp;TEXT(S39,"00")&amp;"-"&amp;TEXT(T39,"０00"),"")</f>
        <v>点群-結合-01-01-12-001</v>
      </c>
      <c r="B39" s="26" t="s">
        <v>452</v>
      </c>
      <c r="C39" s="26" t="s">
        <v>193</v>
      </c>
      <c r="D39" s="26" t="s">
        <v>76</v>
      </c>
      <c r="E39" s="43" t="s">
        <v>36</v>
      </c>
      <c r="F39" s="43"/>
      <c r="G39" s="34" t="s">
        <v>501</v>
      </c>
      <c r="H39" s="34" t="s">
        <v>269</v>
      </c>
      <c r="I39" s="93">
        <v>44889</v>
      </c>
      <c r="J39" s="94" t="s">
        <v>393</v>
      </c>
      <c r="K39" s="95" t="s">
        <v>394</v>
      </c>
      <c r="L39" s="26"/>
      <c r="M39" s="26"/>
      <c r="R39" s="33">
        <f t="shared" si="0"/>
        <v>1</v>
      </c>
      <c r="S39" s="33">
        <f t="shared" si="1"/>
        <v>12</v>
      </c>
      <c r="T39" s="33">
        <f t="shared" si="2"/>
        <v>1</v>
      </c>
    </row>
    <row r="40" spans="1:20" s="25" customFormat="1" ht="42" x14ac:dyDescent="0.15">
      <c r="A40" s="52" t="str">
        <f ca="1">IF(B40&lt;&gt;"",表紙!$AB$1&amp;"-"&amp;"結合-"&amp;TEXT($S$1,"00")&amp;"-"&amp;TEXT(R40,"00")&amp;"-"&amp;TEXT(S40,"00")&amp;"-"&amp;TEXT(T40,"０00"),"")</f>
        <v>点群-結合-01-01-13-001</v>
      </c>
      <c r="B40" s="26" t="s">
        <v>452</v>
      </c>
      <c r="C40" s="26" t="s">
        <v>458</v>
      </c>
      <c r="D40" s="26" t="s">
        <v>76</v>
      </c>
      <c r="E40" s="43" t="s">
        <v>36</v>
      </c>
      <c r="F40" s="43"/>
      <c r="G40" s="34" t="s">
        <v>502</v>
      </c>
      <c r="H40" s="34" t="s">
        <v>269</v>
      </c>
      <c r="I40" s="93">
        <v>44889</v>
      </c>
      <c r="J40" s="94" t="s">
        <v>393</v>
      </c>
      <c r="K40" s="95" t="s">
        <v>394</v>
      </c>
      <c r="L40" s="26"/>
      <c r="M40" s="26"/>
      <c r="R40" s="33">
        <f t="shared" si="0"/>
        <v>1</v>
      </c>
      <c r="S40" s="33">
        <f t="shared" si="1"/>
        <v>13</v>
      </c>
      <c r="T40" s="33">
        <f t="shared" si="2"/>
        <v>1</v>
      </c>
    </row>
    <row r="41" spans="1:20" s="25" customFormat="1" ht="21" x14ac:dyDescent="0.15">
      <c r="A41" s="52" t="str">
        <f ca="1">IF(B41&lt;&gt;"",表紙!$AB$1&amp;"-"&amp;"結合-"&amp;TEXT($S$1,"00")&amp;"-"&amp;TEXT(R41,"00")&amp;"-"&amp;TEXT(S41,"00")&amp;"-"&amp;TEXT(T41,"０00"),"")</f>
        <v>点群-結合-01-01-14-001</v>
      </c>
      <c r="B41" s="26" t="s">
        <v>452</v>
      </c>
      <c r="C41" s="26" t="s">
        <v>459</v>
      </c>
      <c r="D41" s="26" t="s">
        <v>76</v>
      </c>
      <c r="E41" s="43" t="s">
        <v>36</v>
      </c>
      <c r="F41" s="43"/>
      <c r="G41" s="34"/>
      <c r="H41" s="34"/>
      <c r="I41" s="96"/>
      <c r="J41" s="97"/>
      <c r="K41" s="97"/>
      <c r="L41" s="26"/>
      <c r="M41" s="26" t="str">
        <f ca="1">$A$16</f>
        <v>点群-結合-01-01-04-001</v>
      </c>
      <c r="R41" s="33">
        <f t="shared" si="0"/>
        <v>1</v>
      </c>
      <c r="S41" s="33">
        <f t="shared" si="1"/>
        <v>14</v>
      </c>
      <c r="T41" s="33">
        <f t="shared" si="2"/>
        <v>1</v>
      </c>
    </row>
    <row r="42" spans="1:20" s="25" customFormat="1" ht="52.5" x14ac:dyDescent="0.15">
      <c r="A42" s="52" t="str">
        <f ca="1">IF(B42&lt;&gt;"",表紙!$AB$1&amp;"-"&amp;"結合-"&amp;TEXT($S$1,"00")&amp;"-"&amp;TEXT(R42,"00")&amp;"-"&amp;TEXT(S42,"00")&amp;"-"&amp;TEXT(T42,"０00"),"")</f>
        <v>点群-結合-01-02-01-001</v>
      </c>
      <c r="B42" s="26" t="s">
        <v>455</v>
      </c>
      <c r="C42" s="26" t="s">
        <v>94</v>
      </c>
      <c r="D42" s="26" t="s">
        <v>97</v>
      </c>
      <c r="E42" s="43" t="s">
        <v>35</v>
      </c>
      <c r="F42" s="43"/>
      <c r="G42" s="34" t="s">
        <v>417</v>
      </c>
      <c r="H42" s="34" t="s">
        <v>273</v>
      </c>
      <c r="I42" s="93">
        <v>44889</v>
      </c>
      <c r="J42" s="94" t="s">
        <v>398</v>
      </c>
      <c r="K42" s="95" t="s">
        <v>399</v>
      </c>
      <c r="L42" s="98"/>
      <c r="M42" s="26"/>
      <c r="R42" s="33">
        <f t="shared" si="0"/>
        <v>2</v>
      </c>
      <c r="S42" s="33">
        <f t="shared" si="1"/>
        <v>1</v>
      </c>
      <c r="T42" s="33">
        <f t="shared" si="2"/>
        <v>1</v>
      </c>
    </row>
    <row r="43" spans="1:20" s="25" customFormat="1" ht="52.5" x14ac:dyDescent="0.15">
      <c r="A43" s="52" t="str">
        <f ca="1">IF(B43&lt;&gt;"",表紙!$AB$1&amp;"-"&amp;"結合-"&amp;TEXT($S$1,"00")&amp;"-"&amp;TEXT(R43,"00")&amp;"-"&amp;TEXT(S43,"00")&amp;"-"&amp;TEXT(T43,"０00"),"")</f>
        <v>点群-結合-01-02-02-001</v>
      </c>
      <c r="B43" s="26" t="s">
        <v>455</v>
      </c>
      <c r="C43" s="26" t="s">
        <v>95</v>
      </c>
      <c r="D43" s="26" t="s">
        <v>97</v>
      </c>
      <c r="E43" s="43" t="s">
        <v>35</v>
      </c>
      <c r="F43" s="43"/>
      <c r="G43" s="34" t="s">
        <v>418</v>
      </c>
      <c r="H43" s="34" t="s">
        <v>199</v>
      </c>
      <c r="I43" s="93">
        <v>44889</v>
      </c>
      <c r="J43" s="94" t="s">
        <v>398</v>
      </c>
      <c r="K43" s="95" t="s">
        <v>399</v>
      </c>
      <c r="L43" s="98"/>
      <c r="M43" s="26"/>
      <c r="R43" s="33">
        <f t="shared" si="0"/>
        <v>2</v>
      </c>
      <c r="S43" s="33">
        <f t="shared" si="1"/>
        <v>2</v>
      </c>
      <c r="T43" s="33">
        <f t="shared" si="2"/>
        <v>1</v>
      </c>
    </row>
    <row r="44" spans="1:20" s="25" customFormat="1" ht="52.5" x14ac:dyDescent="0.15">
      <c r="A44" s="52" t="str">
        <f ca="1">IF(B44&lt;&gt;"",表紙!$AB$1&amp;"-"&amp;"結合-"&amp;TEXT($S$1,"00")&amp;"-"&amp;TEXT(R44,"00")&amp;"-"&amp;TEXT(S44,"00")&amp;"-"&amp;TEXT(T44,"０00"),"")</f>
        <v>点群-結合-01-02-03-001</v>
      </c>
      <c r="B44" s="26" t="s">
        <v>455</v>
      </c>
      <c r="C44" s="26" t="s">
        <v>461</v>
      </c>
      <c r="D44" s="26" t="s">
        <v>104</v>
      </c>
      <c r="E44" s="43" t="s">
        <v>35</v>
      </c>
      <c r="F44" s="43"/>
      <c r="G44" s="34" t="s">
        <v>419</v>
      </c>
      <c r="H44" s="34" t="s">
        <v>199</v>
      </c>
      <c r="I44" s="93">
        <v>44889</v>
      </c>
      <c r="J44" s="94" t="s">
        <v>398</v>
      </c>
      <c r="K44" s="95" t="s">
        <v>399</v>
      </c>
      <c r="L44" s="98"/>
      <c r="M44" s="26"/>
      <c r="R44" s="33">
        <f t="shared" si="0"/>
        <v>2</v>
      </c>
      <c r="S44" s="33">
        <f t="shared" si="1"/>
        <v>3</v>
      </c>
      <c r="T44" s="33">
        <f t="shared" si="2"/>
        <v>1</v>
      </c>
    </row>
    <row r="45" spans="1:20" s="25" customFormat="1" ht="52.5" x14ac:dyDescent="0.15">
      <c r="A45" s="52" t="str">
        <f ca="1">IF(B45&lt;&gt;"",表紙!$AB$1&amp;"-"&amp;"結合-"&amp;TEXT($S$1,"00")&amp;"-"&amp;TEXT(R45,"00")&amp;"-"&amp;TEXT(S45,"00")&amp;"-"&amp;TEXT(T45,"０00"),"")</f>
        <v>点群-結合-01-02-03-002</v>
      </c>
      <c r="B45" s="26" t="s">
        <v>455</v>
      </c>
      <c r="C45" s="26" t="s">
        <v>461</v>
      </c>
      <c r="D45" s="26" t="s">
        <v>105</v>
      </c>
      <c r="E45" s="43" t="s">
        <v>35</v>
      </c>
      <c r="F45" s="43"/>
      <c r="G45" s="34" t="s">
        <v>420</v>
      </c>
      <c r="H45" s="34" t="s">
        <v>199</v>
      </c>
      <c r="I45" s="93">
        <v>44889</v>
      </c>
      <c r="J45" s="94" t="s">
        <v>398</v>
      </c>
      <c r="K45" s="95" t="s">
        <v>399</v>
      </c>
      <c r="L45" s="98"/>
      <c r="M45" s="26"/>
      <c r="R45" s="33">
        <f t="shared" si="0"/>
        <v>2</v>
      </c>
      <c r="S45" s="33">
        <f t="shared" si="1"/>
        <v>3</v>
      </c>
      <c r="T45" s="33">
        <f t="shared" si="2"/>
        <v>2</v>
      </c>
    </row>
    <row r="46" spans="1:20" s="25" customFormat="1" ht="52.5" x14ac:dyDescent="0.15">
      <c r="A46" s="52" t="str">
        <f ca="1">IF(B46&lt;&gt;"",表紙!$AB$1&amp;"-"&amp;"結合-"&amp;TEXT($S$1,"00")&amp;"-"&amp;TEXT(R46,"00")&amp;"-"&amp;TEXT(S46,"00")&amp;"-"&amp;TEXT(T46,"０00"),"")</f>
        <v>点群-結合-01-02-03-003</v>
      </c>
      <c r="B46" s="26" t="s">
        <v>455</v>
      </c>
      <c r="C46" s="26" t="s">
        <v>461</v>
      </c>
      <c r="D46" s="26" t="s">
        <v>98</v>
      </c>
      <c r="E46" s="43" t="s">
        <v>35</v>
      </c>
      <c r="F46" s="43"/>
      <c r="G46" s="34" t="s">
        <v>421</v>
      </c>
      <c r="H46" s="34" t="s">
        <v>199</v>
      </c>
      <c r="I46" s="93">
        <v>44889</v>
      </c>
      <c r="J46" s="94" t="s">
        <v>398</v>
      </c>
      <c r="K46" s="95" t="s">
        <v>399</v>
      </c>
      <c r="L46" s="98"/>
      <c r="M46" s="26"/>
      <c r="R46" s="33">
        <f t="shared" si="0"/>
        <v>2</v>
      </c>
      <c r="S46" s="33">
        <f t="shared" si="1"/>
        <v>3</v>
      </c>
      <c r="T46" s="33">
        <f t="shared" si="2"/>
        <v>3</v>
      </c>
    </row>
    <row r="47" spans="1:20" s="25" customFormat="1" ht="52.5" x14ac:dyDescent="0.15">
      <c r="A47" s="52" t="str">
        <f ca="1">IF(B47&lt;&gt;"",表紙!$AB$1&amp;"-"&amp;"結合-"&amp;TEXT($S$1,"00")&amp;"-"&amp;TEXT(R47,"00")&amp;"-"&amp;TEXT(S47,"00")&amp;"-"&amp;TEXT(T47,"０00"),"")</f>
        <v>点群-結合-01-02-03-004</v>
      </c>
      <c r="B47" s="26" t="s">
        <v>455</v>
      </c>
      <c r="C47" s="26" t="s">
        <v>461</v>
      </c>
      <c r="D47" s="26" t="s">
        <v>99</v>
      </c>
      <c r="E47" s="43" t="s">
        <v>35</v>
      </c>
      <c r="F47" s="43"/>
      <c r="G47" s="34" t="s">
        <v>422</v>
      </c>
      <c r="H47" s="34" t="s">
        <v>199</v>
      </c>
      <c r="I47" s="93">
        <v>44889</v>
      </c>
      <c r="J47" s="94" t="s">
        <v>398</v>
      </c>
      <c r="K47" s="95" t="s">
        <v>399</v>
      </c>
      <c r="L47" s="98" t="s">
        <v>395</v>
      </c>
      <c r="M47" s="26"/>
      <c r="R47" s="33">
        <f t="shared" si="0"/>
        <v>2</v>
      </c>
      <c r="S47" s="33">
        <f t="shared" si="1"/>
        <v>3</v>
      </c>
      <c r="T47" s="33">
        <f t="shared" si="2"/>
        <v>4</v>
      </c>
    </row>
    <row r="48" spans="1:20" s="25" customFormat="1" ht="52.5" x14ac:dyDescent="0.15">
      <c r="A48" s="52" t="str">
        <f ca="1">IF(B48&lt;&gt;"",表紙!$AB$1&amp;"-"&amp;"結合-"&amp;TEXT($S$1,"00")&amp;"-"&amp;TEXT(R48,"00")&amp;"-"&amp;TEXT(S48,"00")&amp;"-"&amp;TEXT(T48,"０00"),"")</f>
        <v>点群-結合-01-02-03-005</v>
      </c>
      <c r="B48" s="26" t="s">
        <v>455</v>
      </c>
      <c r="C48" s="26" t="s">
        <v>461</v>
      </c>
      <c r="D48" s="26" t="s">
        <v>100</v>
      </c>
      <c r="E48" s="43" t="s">
        <v>35</v>
      </c>
      <c r="F48" s="43"/>
      <c r="G48" s="34" t="s">
        <v>423</v>
      </c>
      <c r="H48" s="34" t="s">
        <v>199</v>
      </c>
      <c r="I48" s="93">
        <v>44889</v>
      </c>
      <c r="J48" s="94" t="s">
        <v>398</v>
      </c>
      <c r="K48" s="95" t="s">
        <v>399</v>
      </c>
      <c r="L48" s="98" t="s">
        <v>395</v>
      </c>
      <c r="M48" s="26"/>
      <c r="R48" s="33">
        <f t="shared" si="0"/>
        <v>2</v>
      </c>
      <c r="S48" s="33">
        <f t="shared" si="1"/>
        <v>3</v>
      </c>
      <c r="T48" s="33">
        <f t="shared" si="2"/>
        <v>5</v>
      </c>
    </row>
    <row r="49" spans="1:20" s="25" customFormat="1" ht="52.5" x14ac:dyDescent="0.15">
      <c r="A49" s="52" t="str">
        <f ca="1">IF(B49&lt;&gt;"",表紙!$AB$1&amp;"-"&amp;"結合-"&amp;TEXT($S$1,"00")&amp;"-"&amp;TEXT(R49,"00")&amp;"-"&amp;TEXT(S49,"00")&amp;"-"&amp;TEXT(T49,"０00"),"")</f>
        <v>点群-結合-01-02-03-006</v>
      </c>
      <c r="B49" s="26" t="s">
        <v>455</v>
      </c>
      <c r="C49" s="26" t="s">
        <v>461</v>
      </c>
      <c r="D49" s="26" t="s">
        <v>101</v>
      </c>
      <c r="E49" s="43" t="s">
        <v>35</v>
      </c>
      <c r="F49" s="43"/>
      <c r="G49" s="34" t="s">
        <v>424</v>
      </c>
      <c r="H49" s="34" t="s">
        <v>199</v>
      </c>
      <c r="I49" s="93">
        <v>44889</v>
      </c>
      <c r="J49" s="94" t="s">
        <v>400</v>
      </c>
      <c r="K49" s="95" t="s">
        <v>401</v>
      </c>
      <c r="L49" s="26" t="s">
        <v>395</v>
      </c>
      <c r="M49" s="26"/>
      <c r="R49" s="33">
        <f t="shared" si="0"/>
        <v>2</v>
      </c>
      <c r="S49" s="33">
        <f t="shared" si="1"/>
        <v>3</v>
      </c>
      <c r="T49" s="33">
        <f t="shared" si="2"/>
        <v>6</v>
      </c>
    </row>
    <row r="50" spans="1:20" s="25" customFormat="1" ht="52.5" x14ac:dyDescent="0.15">
      <c r="A50" s="52" t="str">
        <f ca="1">IF(B50&lt;&gt;"",表紙!$AB$1&amp;"-"&amp;"結合-"&amp;TEXT($S$1,"00")&amp;"-"&amp;TEXT(R50,"00")&amp;"-"&amp;TEXT(S50,"00")&amp;"-"&amp;TEXT(T50,"０00"),"")</f>
        <v>点群-結合-01-02-03-007</v>
      </c>
      <c r="B50" s="26" t="s">
        <v>455</v>
      </c>
      <c r="C50" s="26" t="s">
        <v>461</v>
      </c>
      <c r="D50" s="26" t="s">
        <v>102</v>
      </c>
      <c r="E50" s="43" t="s">
        <v>35</v>
      </c>
      <c r="F50" s="43"/>
      <c r="G50" s="34" t="s">
        <v>425</v>
      </c>
      <c r="H50" s="34" t="s">
        <v>199</v>
      </c>
      <c r="I50" s="93">
        <v>44889</v>
      </c>
      <c r="J50" s="94" t="s">
        <v>393</v>
      </c>
      <c r="K50" s="95" t="s">
        <v>394</v>
      </c>
      <c r="L50" s="26"/>
      <c r="M50" s="26"/>
      <c r="R50" s="33">
        <f t="shared" si="0"/>
        <v>2</v>
      </c>
      <c r="S50" s="33">
        <f t="shared" si="1"/>
        <v>3</v>
      </c>
      <c r="T50" s="33">
        <f t="shared" si="2"/>
        <v>7</v>
      </c>
    </row>
    <row r="51" spans="1:20" s="25" customFormat="1" ht="52.5" x14ac:dyDescent="0.15">
      <c r="A51" s="52" t="str">
        <f ca="1">IF(B51&lt;&gt;"",表紙!$AB$1&amp;"-"&amp;"結合-"&amp;TEXT($S$1,"00")&amp;"-"&amp;TEXT(R51,"00")&amp;"-"&amp;TEXT(S51,"00")&amp;"-"&amp;TEXT(T51,"０00"),"")</f>
        <v>点群-結合-01-02-03-008</v>
      </c>
      <c r="B51" s="26" t="s">
        <v>455</v>
      </c>
      <c r="C51" s="26" t="s">
        <v>461</v>
      </c>
      <c r="D51" s="26" t="s">
        <v>103</v>
      </c>
      <c r="E51" s="43" t="s">
        <v>35</v>
      </c>
      <c r="F51" s="43"/>
      <c r="G51" s="34" t="s">
        <v>426</v>
      </c>
      <c r="H51" s="34" t="s">
        <v>199</v>
      </c>
      <c r="I51" s="99">
        <v>44890</v>
      </c>
      <c r="J51" s="94" t="s">
        <v>404</v>
      </c>
      <c r="K51" s="95" t="s">
        <v>405</v>
      </c>
      <c r="L51" s="26"/>
      <c r="M51" s="26"/>
      <c r="R51" s="33">
        <f t="shared" si="0"/>
        <v>2</v>
      </c>
      <c r="S51" s="33">
        <f t="shared" si="1"/>
        <v>3</v>
      </c>
      <c r="T51" s="33">
        <f t="shared" si="2"/>
        <v>8</v>
      </c>
    </row>
    <row r="52" spans="1:20" s="25" customFormat="1" ht="52.5" x14ac:dyDescent="0.15">
      <c r="A52" s="52" t="str">
        <f ca="1">IF(B52&lt;&gt;"",表紙!$AB$1&amp;"-"&amp;"結合-"&amp;TEXT($S$1,"00")&amp;"-"&amp;TEXT(R52,"00")&amp;"-"&amp;TEXT(S52,"00")&amp;"-"&amp;TEXT(T52,"０00"),"")</f>
        <v>点群-結合-01-02-04-001</v>
      </c>
      <c r="B52" s="26" t="s">
        <v>455</v>
      </c>
      <c r="C52" s="26" t="s">
        <v>54</v>
      </c>
      <c r="D52" s="26" t="s">
        <v>70</v>
      </c>
      <c r="E52" s="43" t="s">
        <v>35</v>
      </c>
      <c r="F52" s="43"/>
      <c r="G52" s="34" t="s">
        <v>427</v>
      </c>
      <c r="H52" s="34" t="s">
        <v>199</v>
      </c>
      <c r="I52" s="99">
        <v>44890</v>
      </c>
      <c r="J52" s="94" t="s">
        <v>404</v>
      </c>
      <c r="K52" s="95" t="s">
        <v>405</v>
      </c>
      <c r="L52" s="26"/>
      <c r="M52" s="26"/>
      <c r="R52" s="33">
        <f t="shared" si="0"/>
        <v>2</v>
      </c>
      <c r="S52" s="33">
        <f t="shared" si="1"/>
        <v>4</v>
      </c>
      <c r="T52" s="33">
        <f t="shared" si="2"/>
        <v>1</v>
      </c>
    </row>
    <row r="53" spans="1:20" s="25" customFormat="1" ht="52.5" x14ac:dyDescent="0.15">
      <c r="A53" s="52" t="str">
        <f ca="1">IF(B53&lt;&gt;"",表紙!$AB$1&amp;"-"&amp;"結合-"&amp;TEXT($S$1,"00")&amp;"-"&amp;TEXT(R53,"00")&amp;"-"&amp;TEXT(S53,"00")&amp;"-"&amp;TEXT(T53,"０00"),"")</f>
        <v>点群-結合-01-02-04-002</v>
      </c>
      <c r="B53" s="26" t="s">
        <v>455</v>
      </c>
      <c r="C53" s="26" t="s">
        <v>54</v>
      </c>
      <c r="D53" s="26" t="s">
        <v>71</v>
      </c>
      <c r="E53" s="43" t="s">
        <v>35</v>
      </c>
      <c r="F53" s="43"/>
      <c r="G53" s="34" t="s">
        <v>428</v>
      </c>
      <c r="H53" s="34" t="s">
        <v>199</v>
      </c>
      <c r="I53" s="99">
        <v>44890</v>
      </c>
      <c r="J53" s="94" t="s">
        <v>404</v>
      </c>
      <c r="K53" s="95" t="s">
        <v>405</v>
      </c>
      <c r="L53" s="26"/>
      <c r="M53" s="26"/>
      <c r="R53" s="33">
        <f t="shared" si="0"/>
        <v>2</v>
      </c>
      <c r="S53" s="33">
        <f t="shared" si="1"/>
        <v>4</v>
      </c>
      <c r="T53" s="33">
        <f t="shared" si="2"/>
        <v>2</v>
      </c>
    </row>
    <row r="54" spans="1:20" s="25" customFormat="1" ht="52.5" x14ac:dyDescent="0.15">
      <c r="A54" s="52" t="str">
        <f ca="1">IF(B54&lt;&gt;"",表紙!$AB$1&amp;"-"&amp;"結合-"&amp;TEXT($S$1,"00")&amp;"-"&amp;TEXT(R54,"00")&amp;"-"&amp;TEXT(S54,"00")&amp;"-"&amp;TEXT(T54,"０00"),"")</f>
        <v>点群-結合-01-02-04-003</v>
      </c>
      <c r="B54" s="26" t="s">
        <v>455</v>
      </c>
      <c r="C54" s="26" t="s">
        <v>54</v>
      </c>
      <c r="D54" s="26" t="s">
        <v>72</v>
      </c>
      <c r="E54" s="43" t="s">
        <v>35</v>
      </c>
      <c r="F54" s="43"/>
      <c r="G54" s="34" t="s">
        <v>429</v>
      </c>
      <c r="H54" s="34" t="s">
        <v>199</v>
      </c>
      <c r="I54" s="99">
        <v>44890</v>
      </c>
      <c r="J54" s="94" t="s">
        <v>404</v>
      </c>
      <c r="K54" s="95" t="s">
        <v>405</v>
      </c>
      <c r="L54" s="26"/>
      <c r="M54" s="26"/>
      <c r="R54" s="33">
        <f t="shared" si="0"/>
        <v>2</v>
      </c>
      <c r="S54" s="33">
        <f t="shared" si="1"/>
        <v>4</v>
      </c>
      <c r="T54" s="33">
        <f t="shared" si="2"/>
        <v>3</v>
      </c>
    </row>
    <row r="55" spans="1:20" s="25" customFormat="1" ht="52.5" x14ac:dyDescent="0.15">
      <c r="A55" s="52" t="str">
        <f ca="1">IF(B55&lt;&gt;"",表紙!$AB$1&amp;"-"&amp;"結合-"&amp;TEXT($S$1,"00")&amp;"-"&amp;TEXT(R55,"00")&amp;"-"&amp;TEXT(S55,"00")&amp;"-"&amp;TEXT(T55,"０00"),"")</f>
        <v>点群-結合-01-02-04-004</v>
      </c>
      <c r="B55" s="26" t="s">
        <v>455</v>
      </c>
      <c r="C55" s="26" t="s">
        <v>54</v>
      </c>
      <c r="D55" s="26" t="s">
        <v>73</v>
      </c>
      <c r="E55" s="43" t="s">
        <v>35</v>
      </c>
      <c r="F55" s="43"/>
      <c r="G55" s="34" t="s">
        <v>430</v>
      </c>
      <c r="H55" s="34" t="s">
        <v>199</v>
      </c>
      <c r="I55" s="99">
        <v>44890</v>
      </c>
      <c r="J55" s="94" t="s">
        <v>404</v>
      </c>
      <c r="K55" s="95" t="s">
        <v>405</v>
      </c>
      <c r="L55" s="26"/>
      <c r="M55" s="26"/>
      <c r="R55" s="33">
        <f t="shared" si="0"/>
        <v>2</v>
      </c>
      <c r="S55" s="33">
        <f t="shared" si="1"/>
        <v>4</v>
      </c>
      <c r="T55" s="33">
        <f t="shared" si="2"/>
        <v>4</v>
      </c>
    </row>
    <row r="56" spans="1:20" s="25" customFormat="1" ht="52.5" x14ac:dyDescent="0.15">
      <c r="A56" s="52" t="str">
        <f ca="1">IF(B56&lt;&gt;"",表紙!$AB$1&amp;"-"&amp;"結合-"&amp;TEXT($S$1,"00")&amp;"-"&amp;TEXT(R56,"00")&amp;"-"&amp;TEXT(S56,"00")&amp;"-"&amp;TEXT(T56,"０00"),"")</f>
        <v>点群-結合-01-02-04-005</v>
      </c>
      <c r="B56" s="26" t="s">
        <v>455</v>
      </c>
      <c r="C56" s="26" t="s">
        <v>54</v>
      </c>
      <c r="D56" s="26" t="s">
        <v>108</v>
      </c>
      <c r="E56" s="43" t="s">
        <v>35</v>
      </c>
      <c r="F56" s="43"/>
      <c r="G56" s="34" t="s">
        <v>431</v>
      </c>
      <c r="H56" s="34" t="s">
        <v>199</v>
      </c>
      <c r="I56" s="99">
        <v>44890</v>
      </c>
      <c r="J56" s="94" t="s">
        <v>404</v>
      </c>
      <c r="K56" s="95" t="s">
        <v>405</v>
      </c>
      <c r="L56" s="26"/>
      <c r="M56" s="26"/>
      <c r="R56" s="33">
        <f t="shared" si="0"/>
        <v>2</v>
      </c>
      <c r="S56" s="33">
        <f t="shared" si="1"/>
        <v>4</v>
      </c>
      <c r="T56" s="33">
        <f t="shared" si="2"/>
        <v>5</v>
      </c>
    </row>
    <row r="57" spans="1:20" s="25" customFormat="1" ht="52.5" x14ac:dyDescent="0.15">
      <c r="A57" s="52" t="str">
        <f ca="1">IF(B57&lt;&gt;"",表紙!$AB$1&amp;"-"&amp;"結合-"&amp;TEXT($S$1,"00")&amp;"-"&amp;TEXT(R57,"00")&amp;"-"&amp;TEXT(S57,"00")&amp;"-"&amp;TEXT(T57,"０00"),"")</f>
        <v>点群-結合-01-02-04-006</v>
      </c>
      <c r="B57" s="26" t="s">
        <v>455</v>
      </c>
      <c r="C57" s="26" t="s">
        <v>54</v>
      </c>
      <c r="D57" s="26" t="s">
        <v>109</v>
      </c>
      <c r="E57" s="43" t="s">
        <v>35</v>
      </c>
      <c r="F57" s="43"/>
      <c r="G57" s="34" t="s">
        <v>432</v>
      </c>
      <c r="H57" s="34" t="s">
        <v>199</v>
      </c>
      <c r="I57" s="99">
        <v>44890</v>
      </c>
      <c r="J57" s="94" t="s">
        <v>404</v>
      </c>
      <c r="K57" s="95" t="s">
        <v>405</v>
      </c>
      <c r="L57" s="26"/>
      <c r="M57" s="26"/>
      <c r="R57" s="33">
        <f t="shared" si="0"/>
        <v>2</v>
      </c>
      <c r="S57" s="33">
        <f t="shared" si="1"/>
        <v>4</v>
      </c>
      <c r="T57" s="33">
        <f t="shared" si="2"/>
        <v>6</v>
      </c>
    </row>
    <row r="58" spans="1:20" s="25" customFormat="1" ht="105" x14ac:dyDescent="0.15">
      <c r="A58" s="52" t="str">
        <f ca="1">IF(B58&lt;&gt;"",表紙!$AB$1&amp;"-"&amp;"結合-"&amp;TEXT($S$1,"00")&amp;"-"&amp;TEXT(R58,"00")&amp;"-"&amp;TEXT(S58,"00")&amp;"-"&amp;TEXT(T58,"０00"),"")</f>
        <v>点群-結合-01-02-05-001</v>
      </c>
      <c r="B58" s="26" t="s">
        <v>455</v>
      </c>
      <c r="C58" s="26" t="s">
        <v>106</v>
      </c>
      <c r="D58" s="26" t="s">
        <v>110</v>
      </c>
      <c r="E58" s="43" t="s">
        <v>36</v>
      </c>
      <c r="F58" s="43"/>
      <c r="G58" s="34" t="s">
        <v>505</v>
      </c>
      <c r="H58" s="34" t="s">
        <v>390</v>
      </c>
      <c r="I58" s="93">
        <v>44889</v>
      </c>
      <c r="J58" s="94" t="s">
        <v>396</v>
      </c>
      <c r="K58" s="95" t="s">
        <v>394</v>
      </c>
      <c r="L58" s="26" t="s">
        <v>402</v>
      </c>
      <c r="M58" s="26"/>
      <c r="R58" s="33">
        <f t="shared" si="0"/>
        <v>2</v>
      </c>
      <c r="S58" s="33">
        <f t="shared" si="1"/>
        <v>5</v>
      </c>
      <c r="T58" s="33">
        <f t="shared" si="2"/>
        <v>1</v>
      </c>
    </row>
    <row r="59" spans="1:20" s="25" customFormat="1" ht="52.5" x14ac:dyDescent="0.15">
      <c r="A59" s="52" t="str">
        <f ca="1">IF(B59&lt;&gt;"",表紙!$AB$1&amp;"-"&amp;"結合-"&amp;TEXT($S$1,"00")&amp;"-"&amp;TEXT(R59,"00")&amp;"-"&amp;TEXT(S59,"00")&amp;"-"&amp;TEXT(T59,"０00"),"")</f>
        <v>点群-結合-01-02-05-002</v>
      </c>
      <c r="B59" s="26" t="s">
        <v>455</v>
      </c>
      <c r="C59" s="26" t="s">
        <v>106</v>
      </c>
      <c r="D59" s="26" t="s">
        <v>63</v>
      </c>
      <c r="E59" s="43" t="s">
        <v>36</v>
      </c>
      <c r="F59" s="43"/>
      <c r="G59" s="34" t="s">
        <v>506</v>
      </c>
      <c r="H59" s="34" t="s">
        <v>390</v>
      </c>
      <c r="I59" s="93">
        <v>44889</v>
      </c>
      <c r="J59" s="94" t="s">
        <v>396</v>
      </c>
      <c r="K59" s="95" t="s">
        <v>397</v>
      </c>
      <c r="L59" s="26"/>
      <c r="M59" s="26"/>
      <c r="R59" s="33">
        <f t="shared" si="0"/>
        <v>2</v>
      </c>
      <c r="S59" s="33">
        <f t="shared" si="1"/>
        <v>5</v>
      </c>
      <c r="T59" s="33">
        <f t="shared" si="2"/>
        <v>2</v>
      </c>
    </row>
    <row r="60" spans="1:20" s="25" customFormat="1" ht="52.5" x14ac:dyDescent="0.15">
      <c r="A60" s="52" t="str">
        <f ca="1">IF(B60&lt;&gt;"",表紙!$AB$1&amp;"-"&amp;"結合-"&amp;TEXT($S$1,"00")&amp;"-"&amp;TEXT(R60,"00")&amp;"-"&amp;TEXT(S60,"00")&amp;"-"&amp;TEXT(T60,"０00"),"")</f>
        <v>点群-結合-01-02-05-003</v>
      </c>
      <c r="B60" s="26" t="s">
        <v>455</v>
      </c>
      <c r="C60" s="26" t="s">
        <v>106</v>
      </c>
      <c r="D60" s="26" t="s">
        <v>64</v>
      </c>
      <c r="E60" s="43" t="s">
        <v>36</v>
      </c>
      <c r="F60" s="43"/>
      <c r="G60" s="34" t="s">
        <v>507</v>
      </c>
      <c r="H60" s="34" t="s">
        <v>390</v>
      </c>
      <c r="I60" s="93">
        <v>44889</v>
      </c>
      <c r="J60" s="94" t="s">
        <v>396</v>
      </c>
      <c r="K60" s="95" t="s">
        <v>397</v>
      </c>
      <c r="L60" s="26"/>
      <c r="M60" s="26"/>
      <c r="R60" s="33">
        <f t="shared" si="0"/>
        <v>2</v>
      </c>
      <c r="S60" s="33">
        <f t="shared" si="1"/>
        <v>5</v>
      </c>
      <c r="T60" s="33">
        <f t="shared" si="2"/>
        <v>3</v>
      </c>
    </row>
    <row r="61" spans="1:20" s="25" customFormat="1" ht="52.5" x14ac:dyDescent="0.15">
      <c r="A61" s="52" t="str">
        <f ca="1">IF(B61&lt;&gt;"",表紙!$AB$1&amp;"-"&amp;"結合-"&amp;TEXT($S$1,"00")&amp;"-"&amp;TEXT(R61,"00")&amp;"-"&amp;TEXT(S61,"00")&amp;"-"&amp;TEXT(T61,"０00"),"")</f>
        <v>点群-結合-01-02-05-004</v>
      </c>
      <c r="B61" s="26" t="s">
        <v>455</v>
      </c>
      <c r="C61" s="26" t="s">
        <v>106</v>
      </c>
      <c r="D61" s="26" t="s">
        <v>289</v>
      </c>
      <c r="E61" s="43" t="s">
        <v>36</v>
      </c>
      <c r="F61" s="43"/>
      <c r="G61" s="34" t="s">
        <v>508</v>
      </c>
      <c r="H61" s="34" t="s">
        <v>390</v>
      </c>
      <c r="I61" s="93">
        <v>44889</v>
      </c>
      <c r="J61" s="94" t="s">
        <v>396</v>
      </c>
      <c r="K61" s="95" t="s">
        <v>394</v>
      </c>
      <c r="L61" s="26" t="s">
        <v>403</v>
      </c>
      <c r="M61" s="26"/>
      <c r="R61" s="33">
        <f t="shared" si="0"/>
        <v>2</v>
      </c>
      <c r="S61" s="33">
        <f t="shared" si="1"/>
        <v>5</v>
      </c>
      <c r="T61" s="33">
        <f t="shared" si="2"/>
        <v>4</v>
      </c>
    </row>
    <row r="62" spans="1:20" s="25" customFormat="1" ht="52.5" x14ac:dyDescent="0.15">
      <c r="A62" s="52" t="str">
        <f ca="1">IF(B62&lt;&gt;"",表紙!$AB$1&amp;"-"&amp;"結合-"&amp;TEXT($S$1,"00")&amp;"-"&amp;TEXT(R62,"00")&amp;"-"&amp;TEXT(S62,"00")&amp;"-"&amp;TEXT(T62,"０00"),"")</f>
        <v>点群-結合-01-02-05-005</v>
      </c>
      <c r="B62" s="26" t="s">
        <v>455</v>
      </c>
      <c r="C62" s="26" t="s">
        <v>106</v>
      </c>
      <c r="D62" s="26" t="s">
        <v>290</v>
      </c>
      <c r="E62" s="43" t="s">
        <v>36</v>
      </c>
      <c r="F62" s="43"/>
      <c r="G62" s="34" t="s">
        <v>509</v>
      </c>
      <c r="H62" s="34" t="s">
        <v>390</v>
      </c>
      <c r="I62" s="93">
        <v>44889</v>
      </c>
      <c r="J62" s="94" t="s">
        <v>404</v>
      </c>
      <c r="K62" s="95" t="s">
        <v>405</v>
      </c>
      <c r="L62" s="26"/>
      <c r="M62" s="26"/>
      <c r="R62" s="33">
        <f t="shared" si="0"/>
        <v>2</v>
      </c>
      <c r="S62" s="33">
        <f t="shared" si="1"/>
        <v>5</v>
      </c>
      <c r="T62" s="33">
        <f t="shared" si="2"/>
        <v>5</v>
      </c>
    </row>
    <row r="63" spans="1:20" s="25" customFormat="1" ht="52.5" x14ac:dyDescent="0.15">
      <c r="A63" s="52" t="str">
        <f ca="1">IF(B63&lt;&gt;"",表紙!$AB$1&amp;"-"&amp;"結合-"&amp;TEXT($S$1,"00")&amp;"-"&amp;TEXT(R63,"00")&amp;"-"&amp;TEXT(S63,"00")&amp;"-"&amp;TEXT(T63,"０00"),"")</f>
        <v>点群-結合-01-02-05-006</v>
      </c>
      <c r="B63" s="26" t="s">
        <v>455</v>
      </c>
      <c r="C63" s="26" t="s">
        <v>106</v>
      </c>
      <c r="D63" s="26" t="s">
        <v>283</v>
      </c>
      <c r="E63" s="43" t="s">
        <v>36</v>
      </c>
      <c r="F63" s="43"/>
      <c r="G63" s="34" t="s">
        <v>510</v>
      </c>
      <c r="H63" s="34" t="s">
        <v>390</v>
      </c>
      <c r="I63" s="93">
        <v>44889</v>
      </c>
      <c r="J63" s="94" t="s">
        <v>404</v>
      </c>
      <c r="K63" s="95" t="s">
        <v>405</v>
      </c>
      <c r="L63" s="26"/>
      <c r="M63" s="26"/>
      <c r="R63" s="33">
        <f t="shared" si="0"/>
        <v>2</v>
      </c>
      <c r="S63" s="33">
        <f t="shared" si="1"/>
        <v>5</v>
      </c>
      <c r="T63" s="33">
        <f t="shared" si="2"/>
        <v>6</v>
      </c>
    </row>
    <row r="64" spans="1:20" s="25" customFormat="1" ht="52.5" x14ac:dyDescent="0.15">
      <c r="A64" s="52" t="str">
        <f ca="1">IF(B64&lt;&gt;"",表紙!$AB$1&amp;"-"&amp;"結合-"&amp;TEXT($S$1,"00")&amp;"-"&amp;TEXT(R64,"00")&amp;"-"&amp;TEXT(S64,"00")&amp;"-"&amp;TEXT(T64,"０00"),"")</f>
        <v>点群-結合-01-02-06-001</v>
      </c>
      <c r="B64" s="26" t="s">
        <v>455</v>
      </c>
      <c r="C64" s="26" t="s">
        <v>111</v>
      </c>
      <c r="D64" s="26" t="s">
        <v>74</v>
      </c>
      <c r="E64" s="43" t="s">
        <v>36</v>
      </c>
      <c r="F64" s="43"/>
      <c r="G64" s="34" t="s">
        <v>504</v>
      </c>
      <c r="H64" s="34" t="s">
        <v>390</v>
      </c>
      <c r="I64" s="99">
        <v>44890</v>
      </c>
      <c r="J64" s="94" t="s">
        <v>393</v>
      </c>
      <c r="K64" s="95" t="s">
        <v>394</v>
      </c>
      <c r="L64" s="26"/>
      <c r="M64" s="26"/>
      <c r="R64" s="33">
        <f t="shared" si="0"/>
        <v>2</v>
      </c>
      <c r="S64" s="33">
        <f t="shared" si="1"/>
        <v>6</v>
      </c>
      <c r="T64" s="33">
        <f t="shared" si="2"/>
        <v>1</v>
      </c>
    </row>
    <row r="65" spans="1:20" s="25" customFormat="1" ht="13.5" x14ac:dyDescent="0.15">
      <c r="A65" s="52" t="str">
        <f ca="1">IF(B65&lt;&gt;"",表紙!$AB$1&amp;"-"&amp;"結合-"&amp;TEXT($S$1,"00")&amp;"-"&amp;TEXT(R65,"00")&amp;"-"&amp;TEXT(S65,"00")&amp;"-"&amp;TEXT(T65,"０00"),"")</f>
        <v>点群-結合-01-02-06-002</v>
      </c>
      <c r="B65" s="26" t="s">
        <v>455</v>
      </c>
      <c r="C65" s="26" t="s">
        <v>111</v>
      </c>
      <c r="D65" s="26" t="s">
        <v>75</v>
      </c>
      <c r="E65" s="43" t="s">
        <v>36</v>
      </c>
      <c r="F65" s="43"/>
      <c r="G65" s="34"/>
      <c r="H65" s="34"/>
      <c r="I65" s="27"/>
      <c r="J65" s="28"/>
      <c r="K65" s="28"/>
      <c r="L65" s="26"/>
      <c r="M65" s="26" t="str">
        <f ca="1">$A$64</f>
        <v>点群-結合-01-02-06-001</v>
      </c>
      <c r="R65" s="33">
        <f t="shared" si="0"/>
        <v>2</v>
      </c>
      <c r="S65" s="33">
        <f t="shared" si="1"/>
        <v>6</v>
      </c>
      <c r="T65" s="33">
        <f t="shared" si="2"/>
        <v>2</v>
      </c>
    </row>
    <row r="66" spans="1:20" s="25" customFormat="1" ht="52.5" x14ac:dyDescent="0.15">
      <c r="A66" s="52" t="str">
        <f ca="1">IF(B66&lt;&gt;"",表紙!$AB$1&amp;"-"&amp;"結合-"&amp;TEXT($S$1,"00")&amp;"-"&amp;TEXT(R66,"00")&amp;"-"&amp;TEXT(S66,"00")&amp;"-"&amp;TEXT(T66,"０00"),"")</f>
        <v>点群-結合-01-02-07-001</v>
      </c>
      <c r="B66" s="26" t="s">
        <v>455</v>
      </c>
      <c r="C66" s="26" t="s">
        <v>462</v>
      </c>
      <c r="D66" s="26" t="s">
        <v>97</v>
      </c>
      <c r="E66" s="43" t="s">
        <v>36</v>
      </c>
      <c r="F66" s="43"/>
      <c r="G66" s="34" t="s">
        <v>511</v>
      </c>
      <c r="H66" s="34" t="s">
        <v>391</v>
      </c>
      <c r="I66" s="99">
        <v>44890</v>
      </c>
      <c r="J66" s="94" t="s">
        <v>393</v>
      </c>
      <c r="K66" s="95" t="s">
        <v>394</v>
      </c>
      <c r="L66" s="26"/>
      <c r="M66" s="26"/>
      <c r="R66" s="33">
        <f t="shared" si="0"/>
        <v>2</v>
      </c>
      <c r="S66" s="33">
        <f t="shared" si="1"/>
        <v>7</v>
      </c>
      <c r="T66" s="33">
        <f t="shared" si="2"/>
        <v>1</v>
      </c>
    </row>
    <row r="67" spans="1:20" s="25" customFormat="1" ht="52.5" x14ac:dyDescent="0.15">
      <c r="A67" s="52" t="str">
        <f ca="1">IF(B67&lt;&gt;"",表紙!$AB$1&amp;"-"&amp;"結合-"&amp;TEXT($S$1,"00")&amp;"-"&amp;TEXT(R67,"00")&amp;"-"&amp;TEXT(S67,"00")&amp;"-"&amp;TEXT(T67,"０00"),"")</f>
        <v>点群-結合-01-02-08-001</v>
      </c>
      <c r="B67" s="26" t="s">
        <v>455</v>
      </c>
      <c r="C67" s="26" t="s">
        <v>463</v>
      </c>
      <c r="D67" s="26" t="s">
        <v>114</v>
      </c>
      <c r="E67" s="43" t="s">
        <v>36</v>
      </c>
      <c r="F67" s="43"/>
      <c r="G67" s="34" t="s">
        <v>512</v>
      </c>
      <c r="H67" s="34" t="s">
        <v>391</v>
      </c>
      <c r="I67" s="99">
        <v>44890</v>
      </c>
      <c r="J67" s="94" t="s">
        <v>393</v>
      </c>
      <c r="K67" s="95" t="s">
        <v>394</v>
      </c>
      <c r="L67" s="26"/>
      <c r="M67" s="26"/>
      <c r="R67" s="33">
        <f t="shared" si="0"/>
        <v>2</v>
      </c>
      <c r="S67" s="33">
        <f t="shared" si="1"/>
        <v>8</v>
      </c>
      <c r="T67" s="33">
        <f t="shared" si="2"/>
        <v>1</v>
      </c>
    </row>
    <row r="68" spans="1:20" s="25" customFormat="1" ht="52.5" x14ac:dyDescent="0.15">
      <c r="A68" s="52" t="str">
        <f ca="1">IF(B68&lt;&gt;"",表紙!$AB$1&amp;"-"&amp;"結合-"&amp;TEXT($S$1,"00")&amp;"-"&amp;TEXT(R68,"00")&amp;"-"&amp;TEXT(S68,"00")&amp;"-"&amp;TEXT(T68,"０00"),"")</f>
        <v>点群-結合-01-02-08-002</v>
      </c>
      <c r="B68" s="26" t="s">
        <v>455</v>
      </c>
      <c r="C68" s="26" t="s">
        <v>463</v>
      </c>
      <c r="D68" s="26" t="s">
        <v>115</v>
      </c>
      <c r="E68" s="43" t="s">
        <v>36</v>
      </c>
      <c r="F68" s="43"/>
      <c r="G68" s="34" t="s">
        <v>513</v>
      </c>
      <c r="H68" s="34" t="s">
        <v>391</v>
      </c>
      <c r="I68" s="99">
        <v>44893</v>
      </c>
      <c r="J68" s="94" t="s">
        <v>406</v>
      </c>
      <c r="K68" s="95" t="s">
        <v>407</v>
      </c>
      <c r="L68" s="26"/>
      <c r="M68" s="26"/>
      <c r="R68" s="33">
        <f t="shared" ref="R68:R102" si="3">IF(ROW()&lt;&gt;3,IF(B67&lt;&gt;B68,R67+1,R67),1)</f>
        <v>2</v>
      </c>
      <c r="S68" s="33">
        <f t="shared" ref="S68:S102" si="4">IF(B67=B68,IF(C67&lt;&gt;C68,S67+1,S67),1)</f>
        <v>8</v>
      </c>
      <c r="T68" s="33">
        <f t="shared" ref="T68:T102" si="5">IF(B67&lt;&gt;B68,1,IF(C67=C68,T67+1,1))</f>
        <v>2</v>
      </c>
    </row>
    <row r="69" spans="1:20" s="25" customFormat="1" ht="52.5" x14ac:dyDescent="0.15">
      <c r="A69" s="52" t="str">
        <f ca="1">IF(B69&lt;&gt;"",表紙!$AB$1&amp;"-"&amp;"結合-"&amp;TEXT($S$1,"00")&amp;"-"&amp;TEXT(R69,"00")&amp;"-"&amp;TEXT(S69,"00")&amp;"-"&amp;TEXT(T69,"０00"),"")</f>
        <v>点群-結合-01-02-09-001</v>
      </c>
      <c r="B69" s="26" t="s">
        <v>455</v>
      </c>
      <c r="C69" s="26" t="s">
        <v>464</v>
      </c>
      <c r="D69" s="26" t="s">
        <v>114</v>
      </c>
      <c r="E69" s="43" t="s">
        <v>36</v>
      </c>
      <c r="F69" s="43"/>
      <c r="G69" s="34" t="s">
        <v>514</v>
      </c>
      <c r="H69" s="34" t="s">
        <v>391</v>
      </c>
      <c r="I69" s="99">
        <v>44893</v>
      </c>
      <c r="J69" s="94" t="s">
        <v>406</v>
      </c>
      <c r="K69" s="95" t="s">
        <v>407</v>
      </c>
      <c r="L69" s="26"/>
      <c r="M69" s="26"/>
      <c r="R69" s="33">
        <f t="shared" si="3"/>
        <v>2</v>
      </c>
      <c r="S69" s="33">
        <f t="shared" si="4"/>
        <v>9</v>
      </c>
      <c r="T69" s="33">
        <f t="shared" si="5"/>
        <v>1</v>
      </c>
    </row>
    <row r="70" spans="1:20" s="25" customFormat="1" ht="52.5" x14ac:dyDescent="0.15">
      <c r="A70" s="52" t="str">
        <f ca="1">IF(B70&lt;&gt;"",表紙!$AB$1&amp;"-"&amp;"結合-"&amp;TEXT($S$1,"00")&amp;"-"&amp;TEXT(R70,"00")&amp;"-"&amp;TEXT(S70,"00")&amp;"-"&amp;TEXT(T70,"０00"),"")</f>
        <v>点群-結合-01-02-09-002</v>
      </c>
      <c r="B70" s="26" t="s">
        <v>455</v>
      </c>
      <c r="C70" s="26" t="s">
        <v>464</v>
      </c>
      <c r="D70" s="26" t="s">
        <v>115</v>
      </c>
      <c r="E70" s="43" t="s">
        <v>36</v>
      </c>
      <c r="F70" s="43"/>
      <c r="G70" s="34" t="s">
        <v>515</v>
      </c>
      <c r="H70" s="34" t="s">
        <v>391</v>
      </c>
      <c r="I70" s="99">
        <v>44893</v>
      </c>
      <c r="J70" s="94" t="s">
        <v>406</v>
      </c>
      <c r="K70" s="95" t="s">
        <v>407</v>
      </c>
      <c r="L70" s="26"/>
      <c r="M70" s="26"/>
      <c r="R70" s="33">
        <f t="shared" si="3"/>
        <v>2</v>
      </c>
      <c r="S70" s="33">
        <f t="shared" si="4"/>
        <v>9</v>
      </c>
      <c r="T70" s="33">
        <f t="shared" si="5"/>
        <v>2</v>
      </c>
    </row>
    <row r="71" spans="1:20" s="25" customFormat="1" ht="115.5" x14ac:dyDescent="0.15">
      <c r="A71" s="52" t="str">
        <f ca="1">IF(B71&lt;&gt;"",表紙!$AB$1&amp;"-"&amp;"結合-"&amp;TEXT($S$1,"00")&amp;"-"&amp;TEXT(R71,"00")&amp;"-"&amp;TEXT(S71,"00")&amp;"-"&amp;TEXT(T71,"０00"),"")</f>
        <v>点群-結合-01-02-10-001</v>
      </c>
      <c r="B71" s="26" t="s">
        <v>455</v>
      </c>
      <c r="C71" s="26" t="s">
        <v>465</v>
      </c>
      <c r="D71" s="26" t="s">
        <v>57</v>
      </c>
      <c r="E71" s="43" t="s">
        <v>36</v>
      </c>
      <c r="F71" s="43"/>
      <c r="G71" s="34" t="s">
        <v>433</v>
      </c>
      <c r="H71" s="34" t="s">
        <v>392</v>
      </c>
      <c r="I71" s="99">
        <v>44893</v>
      </c>
      <c r="J71" s="94" t="s">
        <v>406</v>
      </c>
      <c r="K71" s="95" t="s">
        <v>407</v>
      </c>
      <c r="L71" s="26"/>
      <c r="M71" s="26"/>
      <c r="R71" s="33">
        <f t="shared" si="3"/>
        <v>2</v>
      </c>
      <c r="S71" s="33">
        <f t="shared" si="4"/>
        <v>10</v>
      </c>
      <c r="T71" s="33">
        <f t="shared" si="5"/>
        <v>1</v>
      </c>
    </row>
    <row r="72" spans="1:20" s="25" customFormat="1" ht="13.5" x14ac:dyDescent="0.15">
      <c r="A72" s="52" t="str">
        <f ca="1">IF(B72&lt;&gt;"",表紙!$AB$1&amp;"-"&amp;"結合-"&amp;TEXT($S$1,"00")&amp;"-"&amp;TEXT(R72,"00")&amp;"-"&amp;TEXT(S72,"00")&amp;"-"&amp;TEXT(T72,"０00"),"")</f>
        <v>点群-結合-01-02-11-001</v>
      </c>
      <c r="B72" s="26" t="s">
        <v>455</v>
      </c>
      <c r="C72" s="26" t="s">
        <v>460</v>
      </c>
      <c r="D72" s="26" t="s">
        <v>57</v>
      </c>
      <c r="E72" s="43" t="s">
        <v>36</v>
      </c>
      <c r="F72" s="43"/>
      <c r="G72" s="34"/>
      <c r="H72" s="34"/>
      <c r="I72" s="27"/>
      <c r="J72" s="28"/>
      <c r="K72" s="28"/>
      <c r="L72" s="26"/>
      <c r="M72" s="26" t="str">
        <f ca="1">$A$58</f>
        <v>点群-結合-01-02-05-001</v>
      </c>
      <c r="R72" s="33">
        <f t="shared" si="3"/>
        <v>2</v>
      </c>
      <c r="S72" s="33">
        <f t="shared" si="4"/>
        <v>11</v>
      </c>
      <c r="T72" s="33">
        <f t="shared" si="5"/>
        <v>1</v>
      </c>
    </row>
    <row r="73" spans="1:20" s="25" customFormat="1" ht="13.5" x14ac:dyDescent="0.15">
      <c r="A73" s="52" t="str">
        <f ca="1">IF(B73&lt;&gt;"",表紙!$AB$1&amp;"-"&amp;"結合-"&amp;TEXT($S$1,"00")&amp;"-"&amp;TEXT(R73,"00")&amp;"-"&amp;TEXT(S73,"00")&amp;"-"&amp;TEXT(T73,"０00"),"")</f>
        <v>点群-結合-01-02-12-001</v>
      </c>
      <c r="B73" s="26" t="s">
        <v>455</v>
      </c>
      <c r="C73" s="26" t="s">
        <v>116</v>
      </c>
      <c r="D73" s="26" t="s">
        <v>57</v>
      </c>
      <c r="E73" s="43" t="s">
        <v>36</v>
      </c>
      <c r="F73" s="43"/>
      <c r="G73" s="34"/>
      <c r="H73" s="34"/>
      <c r="I73" s="27"/>
      <c r="J73" s="28"/>
      <c r="K73" s="28"/>
      <c r="L73" s="26"/>
      <c r="M73" s="26" t="str">
        <f ca="1">$A$59</f>
        <v>点群-結合-01-02-05-002</v>
      </c>
      <c r="R73" s="33">
        <f t="shared" si="3"/>
        <v>2</v>
      </c>
      <c r="S73" s="33">
        <f t="shared" si="4"/>
        <v>12</v>
      </c>
      <c r="T73" s="33">
        <f t="shared" si="5"/>
        <v>1</v>
      </c>
    </row>
    <row r="74" spans="1:20" s="25" customFormat="1" ht="13.5" x14ac:dyDescent="0.15">
      <c r="A74" s="52" t="str">
        <f ca="1">IF(B74&lt;&gt;"",表紙!$AB$1&amp;"-"&amp;"結合-"&amp;TEXT($S$1,"00")&amp;"-"&amp;TEXT(R74,"00")&amp;"-"&amp;TEXT(S74,"00")&amp;"-"&amp;TEXT(T74,"０00"),"")</f>
        <v>点群-結合-01-02-13-001</v>
      </c>
      <c r="B74" s="26" t="s">
        <v>455</v>
      </c>
      <c r="C74" s="26" t="s">
        <v>117</v>
      </c>
      <c r="D74" s="26" t="s">
        <v>57</v>
      </c>
      <c r="E74" s="43" t="s">
        <v>36</v>
      </c>
      <c r="F74" s="43"/>
      <c r="G74" s="34"/>
      <c r="H74" s="34"/>
      <c r="I74" s="27"/>
      <c r="J74" s="28"/>
      <c r="K74" s="28"/>
      <c r="L74" s="26"/>
      <c r="M74" s="26" t="str">
        <f ca="1">$A$58</f>
        <v>点群-結合-01-02-05-001</v>
      </c>
      <c r="R74" s="33">
        <f t="shared" si="3"/>
        <v>2</v>
      </c>
      <c r="S74" s="33">
        <f t="shared" si="4"/>
        <v>13</v>
      </c>
      <c r="T74" s="33">
        <f t="shared" si="5"/>
        <v>1</v>
      </c>
    </row>
    <row r="75" spans="1:20" s="25" customFormat="1" ht="13.5" x14ac:dyDescent="0.15">
      <c r="A75" s="52" t="str">
        <f ca="1">IF(B75&lt;&gt;"",表紙!$AB$1&amp;"-"&amp;"結合-"&amp;TEXT($S$1,"00")&amp;"-"&amp;TEXT(R75,"00")&amp;"-"&amp;TEXT(S75,"00")&amp;"-"&amp;TEXT(T75,"０00"),"")</f>
        <v>点群-結合-01-03-01-001</v>
      </c>
      <c r="B75" s="26" t="s">
        <v>474</v>
      </c>
      <c r="C75" s="26" t="s">
        <v>466</v>
      </c>
      <c r="D75" s="26" t="s">
        <v>68</v>
      </c>
      <c r="E75" s="43" t="s">
        <v>35</v>
      </c>
      <c r="F75" s="43"/>
      <c r="G75" s="34"/>
      <c r="H75" s="34"/>
      <c r="I75" s="27"/>
      <c r="J75" s="28"/>
      <c r="K75" s="28"/>
      <c r="L75" s="26"/>
      <c r="M75" s="26" t="str">
        <f ca="1">$A$3</f>
        <v>点群-結合-01-01-01-001</v>
      </c>
      <c r="R75" s="33">
        <f t="shared" si="3"/>
        <v>3</v>
      </c>
      <c r="S75" s="33">
        <f t="shared" si="4"/>
        <v>1</v>
      </c>
      <c r="T75" s="33">
        <f t="shared" si="5"/>
        <v>1</v>
      </c>
    </row>
    <row r="76" spans="1:20" s="25" customFormat="1" ht="13.5" x14ac:dyDescent="0.15">
      <c r="A76" s="52" t="str">
        <f ca="1">IF(B76&lt;&gt;"",表紙!$AB$1&amp;"-"&amp;"結合-"&amp;TEXT($S$1,"00")&amp;"-"&amp;TEXT(R76,"00")&amp;"-"&amp;TEXT(S76,"00")&amp;"-"&amp;TEXT(T76,"０00"),"")</f>
        <v>点群-結合-01-03-01-002</v>
      </c>
      <c r="B76" s="26" t="s">
        <v>474</v>
      </c>
      <c r="C76" s="26" t="s">
        <v>466</v>
      </c>
      <c r="D76" s="26" t="s">
        <v>467</v>
      </c>
      <c r="E76" s="43" t="s">
        <v>35</v>
      </c>
      <c r="F76" s="43"/>
      <c r="G76" s="34"/>
      <c r="H76" s="34"/>
      <c r="I76" s="27"/>
      <c r="J76" s="28"/>
      <c r="K76" s="28"/>
      <c r="L76" s="26"/>
      <c r="M76" s="26" t="str">
        <f ca="1">$A$4</f>
        <v>点群-結合-01-01-01-002</v>
      </c>
      <c r="R76" s="33">
        <f t="shared" si="3"/>
        <v>3</v>
      </c>
      <c r="S76" s="33">
        <f t="shared" si="4"/>
        <v>1</v>
      </c>
      <c r="T76" s="33">
        <f t="shared" si="5"/>
        <v>2</v>
      </c>
    </row>
    <row r="77" spans="1:20" s="25" customFormat="1" ht="13.5" x14ac:dyDescent="0.15">
      <c r="A77" s="52" t="str">
        <f ca="1">IF(B77&lt;&gt;"",表紙!$AB$1&amp;"-"&amp;"結合-"&amp;TEXT($S$1,"00")&amp;"-"&amp;TEXT(R77,"00")&amp;"-"&amp;TEXT(S77,"00")&amp;"-"&amp;TEXT(T77,"０00"),"")</f>
        <v>点群-結合-01-03-01-003</v>
      </c>
      <c r="B77" s="26" t="s">
        <v>474</v>
      </c>
      <c r="C77" s="26" t="s">
        <v>466</v>
      </c>
      <c r="D77" s="26" t="s">
        <v>78</v>
      </c>
      <c r="E77" s="43" t="s">
        <v>35</v>
      </c>
      <c r="F77" s="43"/>
      <c r="G77" s="34"/>
      <c r="H77" s="34"/>
      <c r="I77" s="27"/>
      <c r="J77" s="28"/>
      <c r="K77" s="28"/>
      <c r="L77" s="26"/>
      <c r="M77" s="26" t="str">
        <f ca="1">$A$5</f>
        <v>点群-結合-01-01-01-003</v>
      </c>
      <c r="R77" s="33">
        <f t="shared" si="3"/>
        <v>3</v>
      </c>
      <c r="S77" s="33">
        <f t="shared" si="4"/>
        <v>1</v>
      </c>
      <c r="T77" s="33">
        <f t="shared" si="5"/>
        <v>3</v>
      </c>
    </row>
    <row r="78" spans="1:20" s="25" customFormat="1" ht="13.5" x14ac:dyDescent="0.15">
      <c r="A78" s="52" t="str">
        <f ca="1">IF(B78&lt;&gt;"",表紙!$AB$1&amp;"-"&amp;"結合-"&amp;TEXT($S$1,"00")&amp;"-"&amp;TEXT(R78,"00")&amp;"-"&amp;TEXT(S78,"00")&amp;"-"&amp;TEXT(T78,"０00"),"")</f>
        <v>点群-結合-01-03-01-004</v>
      </c>
      <c r="B78" s="26" t="s">
        <v>474</v>
      </c>
      <c r="C78" s="26" t="s">
        <v>466</v>
      </c>
      <c r="D78" s="26" t="s">
        <v>79</v>
      </c>
      <c r="E78" s="43" t="s">
        <v>35</v>
      </c>
      <c r="F78" s="43"/>
      <c r="G78" s="34"/>
      <c r="H78" s="34"/>
      <c r="I78" s="27"/>
      <c r="J78" s="28"/>
      <c r="K78" s="28"/>
      <c r="L78" s="26"/>
      <c r="M78" s="26" t="str">
        <f ca="1">$A$6</f>
        <v>点群-結合-01-01-01-004</v>
      </c>
      <c r="R78" s="33">
        <f t="shared" si="3"/>
        <v>3</v>
      </c>
      <c r="S78" s="33">
        <f t="shared" si="4"/>
        <v>1</v>
      </c>
      <c r="T78" s="33">
        <f t="shared" si="5"/>
        <v>4</v>
      </c>
    </row>
    <row r="79" spans="1:20" s="25" customFormat="1" ht="13.5" x14ac:dyDescent="0.15">
      <c r="A79" s="52" t="str">
        <f ca="1">IF(B79&lt;&gt;"",表紙!$AB$1&amp;"-"&amp;"結合-"&amp;TEXT($S$1,"00")&amp;"-"&amp;TEXT(R79,"00")&amp;"-"&amp;TEXT(S79,"00")&amp;"-"&amp;TEXT(T79,"０00"),"")</f>
        <v>点群-結合-01-03-01-005</v>
      </c>
      <c r="B79" s="26" t="s">
        <v>474</v>
      </c>
      <c r="C79" s="26" t="s">
        <v>466</v>
      </c>
      <c r="D79" s="26" t="s">
        <v>89</v>
      </c>
      <c r="E79" s="43" t="s">
        <v>35</v>
      </c>
      <c r="F79" s="43"/>
      <c r="G79" s="34"/>
      <c r="H79" s="34"/>
      <c r="I79" s="27"/>
      <c r="J79" s="28"/>
      <c r="K79" s="28"/>
      <c r="L79" s="26"/>
      <c r="M79" s="26" t="str">
        <f ca="1">$A$7</f>
        <v>点群-結合-01-01-01-005</v>
      </c>
      <c r="R79" s="33">
        <f t="shared" si="3"/>
        <v>3</v>
      </c>
      <c r="S79" s="33">
        <f t="shared" si="4"/>
        <v>1</v>
      </c>
      <c r="T79" s="33">
        <f t="shared" si="5"/>
        <v>5</v>
      </c>
    </row>
    <row r="80" spans="1:20" s="25" customFormat="1" ht="13.5" x14ac:dyDescent="0.15">
      <c r="A80" s="52" t="str">
        <f ca="1">IF(B80&lt;&gt;"",表紙!$AB$1&amp;"-"&amp;"結合-"&amp;TEXT($S$1,"00")&amp;"-"&amp;TEXT(R80,"00")&amp;"-"&amp;TEXT(S80,"00")&amp;"-"&amp;TEXT(T80,"０00"),"")</f>
        <v>点群-結合-01-03-01-006</v>
      </c>
      <c r="B80" s="26" t="s">
        <v>474</v>
      </c>
      <c r="C80" s="26" t="s">
        <v>466</v>
      </c>
      <c r="D80" s="26" t="s">
        <v>88</v>
      </c>
      <c r="E80" s="43" t="s">
        <v>35</v>
      </c>
      <c r="F80" s="43"/>
      <c r="G80" s="34"/>
      <c r="H80" s="34"/>
      <c r="I80" s="27"/>
      <c r="J80" s="28"/>
      <c r="K80" s="28"/>
      <c r="L80" s="26"/>
      <c r="M80" s="26" t="str">
        <f ca="1">$A$8</f>
        <v>点群-結合-01-01-01-006</v>
      </c>
      <c r="R80" s="33">
        <f t="shared" si="3"/>
        <v>3</v>
      </c>
      <c r="S80" s="33">
        <f t="shared" si="4"/>
        <v>1</v>
      </c>
      <c r="T80" s="33">
        <f t="shared" si="5"/>
        <v>6</v>
      </c>
    </row>
    <row r="81" spans="1:20" s="25" customFormat="1" ht="42" x14ac:dyDescent="0.15">
      <c r="A81" s="52" t="str">
        <f ca="1">IF(B81&lt;&gt;"",表紙!$AB$1&amp;"-"&amp;"結合-"&amp;TEXT($S$1,"00")&amp;"-"&amp;TEXT(R81,"00")&amp;"-"&amp;TEXT(S81,"00")&amp;"-"&amp;TEXT(T81,"０00"),"")</f>
        <v>点群-結合-01-03-02-001</v>
      </c>
      <c r="B81" s="26" t="s">
        <v>474</v>
      </c>
      <c r="C81" s="26" t="s">
        <v>54</v>
      </c>
      <c r="D81" s="26" t="s">
        <v>469</v>
      </c>
      <c r="E81" s="43" t="s">
        <v>35</v>
      </c>
      <c r="F81" s="43"/>
      <c r="G81" s="34" t="s">
        <v>482</v>
      </c>
      <c r="H81" s="34" t="s">
        <v>484</v>
      </c>
      <c r="I81" s="27">
        <v>44903</v>
      </c>
      <c r="J81" s="28" t="s">
        <v>634</v>
      </c>
      <c r="K81" s="28" t="s">
        <v>635</v>
      </c>
      <c r="L81" s="26"/>
      <c r="M81" s="26"/>
      <c r="R81" s="33">
        <f t="shared" si="3"/>
        <v>3</v>
      </c>
      <c r="S81" s="33">
        <f t="shared" si="4"/>
        <v>2</v>
      </c>
      <c r="T81" s="33">
        <f t="shared" si="5"/>
        <v>1</v>
      </c>
    </row>
    <row r="82" spans="1:20" s="25" customFormat="1" ht="42" x14ac:dyDescent="0.15">
      <c r="A82" s="52" t="str">
        <f ca="1">IF(B82&lt;&gt;"",表紙!$AB$1&amp;"-"&amp;"結合-"&amp;TEXT($S$1,"00")&amp;"-"&amp;TEXT(R82,"00")&amp;"-"&amp;TEXT(S82,"00")&amp;"-"&amp;TEXT(T82,"０00"),"")</f>
        <v>点群-結合-01-03-02-002</v>
      </c>
      <c r="B82" s="26" t="s">
        <v>474</v>
      </c>
      <c r="C82" s="26" t="s">
        <v>54</v>
      </c>
      <c r="D82" s="26" t="s">
        <v>473</v>
      </c>
      <c r="E82" s="43" t="s">
        <v>35</v>
      </c>
      <c r="F82" s="43"/>
      <c r="G82" s="34" t="s">
        <v>483</v>
      </c>
      <c r="H82" s="34" t="s">
        <v>484</v>
      </c>
      <c r="I82" s="27">
        <v>44903</v>
      </c>
      <c r="J82" s="28" t="s">
        <v>634</v>
      </c>
      <c r="K82" s="28" t="s">
        <v>635</v>
      </c>
      <c r="L82" s="26"/>
      <c r="M82" s="26"/>
      <c r="R82" s="33">
        <f t="shared" si="3"/>
        <v>3</v>
      </c>
      <c r="S82" s="33">
        <f t="shared" si="4"/>
        <v>2</v>
      </c>
      <c r="T82" s="33">
        <f t="shared" si="5"/>
        <v>2</v>
      </c>
    </row>
    <row r="83" spans="1:20" s="25" customFormat="1" ht="42" x14ac:dyDescent="0.15">
      <c r="A83" s="52" t="str">
        <f ca="1">IF(B83&lt;&gt;"",表紙!$AB$1&amp;"-"&amp;"結合-"&amp;TEXT($S$1,"00")&amp;"-"&amp;TEXT(R83,"00")&amp;"-"&amp;TEXT(S83,"00")&amp;"-"&amp;TEXT(T83,"０00"),"")</f>
        <v>点群-結合-01-03-03-001</v>
      </c>
      <c r="B83" s="26" t="s">
        <v>474</v>
      </c>
      <c r="C83" s="26" t="s">
        <v>55</v>
      </c>
      <c r="D83" s="26" t="s">
        <v>57</v>
      </c>
      <c r="E83" s="43" t="s">
        <v>35</v>
      </c>
      <c r="F83" s="43"/>
      <c r="G83" s="34" t="s">
        <v>485</v>
      </c>
      <c r="H83" s="34" t="s">
        <v>484</v>
      </c>
      <c r="I83" s="27">
        <v>44903</v>
      </c>
      <c r="J83" s="28" t="s">
        <v>634</v>
      </c>
      <c r="K83" s="28" t="s">
        <v>635</v>
      </c>
      <c r="L83" s="26"/>
      <c r="M83" s="26"/>
      <c r="R83" s="33">
        <f t="shared" si="3"/>
        <v>3</v>
      </c>
      <c r="S83" s="33">
        <f t="shared" si="4"/>
        <v>3</v>
      </c>
      <c r="T83" s="33">
        <f t="shared" si="5"/>
        <v>1</v>
      </c>
    </row>
    <row r="84" spans="1:20" s="25" customFormat="1" ht="42" x14ac:dyDescent="0.15">
      <c r="A84" s="52" t="str">
        <f ca="1">IF(B84&lt;&gt;"",表紙!$AB$1&amp;"-"&amp;"結合-"&amp;TEXT($S$1,"00")&amp;"-"&amp;TEXT(R84,"00")&amp;"-"&amp;TEXT(S84,"00")&amp;"-"&amp;TEXT(T84,"０00"),"")</f>
        <v>点群-結合-01-03-04-001</v>
      </c>
      <c r="B84" s="26" t="s">
        <v>474</v>
      </c>
      <c r="C84" s="26" t="s">
        <v>626</v>
      </c>
      <c r="D84" s="26" t="s">
        <v>475</v>
      </c>
      <c r="E84" s="43" t="s">
        <v>36</v>
      </c>
      <c r="F84" s="43"/>
      <c r="G84" s="34" t="s">
        <v>625</v>
      </c>
      <c r="H84" s="34" t="s">
        <v>594</v>
      </c>
      <c r="I84" s="27">
        <v>44903</v>
      </c>
      <c r="J84" s="28" t="s">
        <v>634</v>
      </c>
      <c r="K84" s="28" t="s">
        <v>635</v>
      </c>
      <c r="L84" s="26"/>
      <c r="M84" s="26"/>
      <c r="R84" s="33">
        <f t="shared" si="3"/>
        <v>3</v>
      </c>
      <c r="S84" s="33">
        <f t="shared" si="4"/>
        <v>4</v>
      </c>
      <c r="T84" s="33">
        <f t="shared" si="5"/>
        <v>1</v>
      </c>
    </row>
    <row r="85" spans="1:20" s="25" customFormat="1" ht="84" x14ac:dyDescent="0.15">
      <c r="A85" s="52" t="str">
        <f ca="1">IF(B85&lt;&gt;"",表紙!$AB$1&amp;"-"&amp;"結合-"&amp;TEXT($S$1,"00")&amp;"-"&amp;TEXT(R85,"00")&amp;"-"&amp;TEXT(S85,"00")&amp;"-"&amp;TEXT(T85,"０00"),"")</f>
        <v>点群-結合-01-03-05-001</v>
      </c>
      <c r="B85" s="26" t="s">
        <v>474</v>
      </c>
      <c r="C85" s="26" t="s">
        <v>476</v>
      </c>
      <c r="D85" s="26" t="s">
        <v>57</v>
      </c>
      <c r="E85" s="43" t="s">
        <v>36</v>
      </c>
      <c r="F85" s="43"/>
      <c r="G85" s="34" t="s">
        <v>612</v>
      </c>
      <c r="H85" s="34" t="s">
        <v>270</v>
      </c>
      <c r="I85" s="27">
        <v>44903</v>
      </c>
      <c r="J85" s="28" t="s">
        <v>634</v>
      </c>
      <c r="K85" s="28" t="s">
        <v>635</v>
      </c>
      <c r="L85" s="26"/>
      <c r="M85" s="26"/>
      <c r="R85" s="33">
        <f t="shared" si="3"/>
        <v>3</v>
      </c>
      <c r="S85" s="33">
        <f t="shared" si="4"/>
        <v>5</v>
      </c>
      <c r="T85" s="33">
        <f t="shared" si="5"/>
        <v>1</v>
      </c>
    </row>
    <row r="86" spans="1:20" s="25" customFormat="1" ht="84" x14ac:dyDescent="0.15">
      <c r="A86" s="52" t="str">
        <f ca="1">IF(B86&lt;&gt;"",表紙!$AB$1&amp;"-"&amp;"結合-"&amp;TEXT($S$1,"00")&amp;"-"&amp;TEXT(R86,"00")&amp;"-"&amp;TEXT(S86,"00")&amp;"-"&amp;TEXT(T86,"０00"),"")</f>
        <v>点群-結合-01-03-06-001</v>
      </c>
      <c r="B86" s="26" t="s">
        <v>474</v>
      </c>
      <c r="C86" s="26" t="s">
        <v>477</v>
      </c>
      <c r="D86" s="26" t="s">
        <v>57</v>
      </c>
      <c r="E86" s="43" t="s">
        <v>36</v>
      </c>
      <c r="F86" s="43"/>
      <c r="G86" s="34" t="s">
        <v>611</v>
      </c>
      <c r="H86" s="34" t="s">
        <v>613</v>
      </c>
      <c r="I86" s="27">
        <v>44903</v>
      </c>
      <c r="J86" s="28" t="s">
        <v>634</v>
      </c>
      <c r="K86" s="28" t="s">
        <v>635</v>
      </c>
      <c r="L86" s="26"/>
      <c r="M86" s="26"/>
      <c r="R86" s="33">
        <f t="shared" si="3"/>
        <v>3</v>
      </c>
      <c r="S86" s="33">
        <f t="shared" si="4"/>
        <v>6</v>
      </c>
      <c r="T86" s="33">
        <f t="shared" si="5"/>
        <v>1</v>
      </c>
    </row>
    <row r="87" spans="1:20" s="25" customFormat="1" ht="42" x14ac:dyDescent="0.15">
      <c r="A87" s="52" t="str">
        <f ca="1">IF(B87&lt;&gt;"",表紙!$AB$1&amp;"-"&amp;"結合-"&amp;TEXT($S$1,"00")&amp;"-"&amp;TEXT(R87,"00")&amp;"-"&amp;TEXT(S87,"00")&amp;"-"&amp;TEXT(T87,"０00"),"")</f>
        <v>点群-結合-01-03-07-001</v>
      </c>
      <c r="B87" s="26" t="s">
        <v>474</v>
      </c>
      <c r="C87" s="26" t="s">
        <v>478</v>
      </c>
      <c r="D87" s="26" t="s">
        <v>57</v>
      </c>
      <c r="E87" s="43" t="s">
        <v>36</v>
      </c>
      <c r="F87" s="43"/>
      <c r="G87" s="34" t="s">
        <v>633</v>
      </c>
      <c r="H87" s="34" t="s">
        <v>614</v>
      </c>
      <c r="I87" s="27">
        <v>44903</v>
      </c>
      <c r="J87" s="28" t="s">
        <v>634</v>
      </c>
      <c r="K87" s="28" t="s">
        <v>635</v>
      </c>
      <c r="L87" s="26"/>
      <c r="M87" s="26"/>
      <c r="R87" s="33">
        <f t="shared" si="3"/>
        <v>3</v>
      </c>
      <c r="S87" s="33">
        <f t="shared" si="4"/>
        <v>7</v>
      </c>
      <c r="T87" s="33">
        <f t="shared" si="5"/>
        <v>1</v>
      </c>
    </row>
    <row r="88" spans="1:20" s="25" customFormat="1" ht="42" x14ac:dyDescent="0.15">
      <c r="A88" s="52" t="str">
        <f ca="1">IF(B88&lt;&gt;"",表紙!$AB$1&amp;"-"&amp;"結合-"&amp;TEXT($S$1,"00")&amp;"-"&amp;TEXT(R88,"00")&amp;"-"&amp;TEXT(S88,"00")&amp;"-"&amp;TEXT(T88,"０00"),"")</f>
        <v>点群-結合-01-04-01-001</v>
      </c>
      <c r="B88" s="26" t="s">
        <v>93</v>
      </c>
      <c r="C88" s="26" t="s">
        <v>94</v>
      </c>
      <c r="D88" s="26" t="s">
        <v>57</v>
      </c>
      <c r="E88" s="43" t="s">
        <v>35</v>
      </c>
      <c r="F88" s="43"/>
      <c r="G88" s="34" t="s">
        <v>624</v>
      </c>
      <c r="H88" s="34" t="s">
        <v>622</v>
      </c>
      <c r="I88" s="27">
        <v>44903</v>
      </c>
      <c r="J88" s="28" t="s">
        <v>634</v>
      </c>
      <c r="K88" s="28" t="s">
        <v>635</v>
      </c>
      <c r="L88" s="26"/>
      <c r="M88" s="26"/>
      <c r="R88" s="33">
        <f t="shared" si="3"/>
        <v>4</v>
      </c>
      <c r="S88" s="33">
        <f t="shared" si="4"/>
        <v>1</v>
      </c>
      <c r="T88" s="33">
        <f t="shared" si="5"/>
        <v>1</v>
      </c>
    </row>
    <row r="89" spans="1:20" s="25" customFormat="1" ht="42" x14ac:dyDescent="0.15">
      <c r="A89" s="52" t="str">
        <f ca="1">IF(B89&lt;&gt;"",表紙!$AB$1&amp;"-"&amp;"結合-"&amp;TEXT($S$1,"00")&amp;"-"&amp;TEXT(R89,"00")&amp;"-"&amp;TEXT(S89,"00")&amp;"-"&amp;TEXT(T89,"０00"),"")</f>
        <v>点群-結合-01-04-02-001</v>
      </c>
      <c r="B89" s="26" t="s">
        <v>93</v>
      </c>
      <c r="C89" s="26" t="s">
        <v>95</v>
      </c>
      <c r="D89" s="26" t="s">
        <v>57</v>
      </c>
      <c r="E89" s="43" t="s">
        <v>35</v>
      </c>
      <c r="F89" s="43"/>
      <c r="G89" s="34" t="s">
        <v>623</v>
      </c>
      <c r="H89" s="34" t="s">
        <v>199</v>
      </c>
      <c r="I89" s="27">
        <v>44903</v>
      </c>
      <c r="J89" s="28" t="s">
        <v>634</v>
      </c>
      <c r="K89" s="28" t="s">
        <v>635</v>
      </c>
      <c r="L89" s="26"/>
      <c r="M89" s="26"/>
      <c r="R89" s="33">
        <f t="shared" si="3"/>
        <v>4</v>
      </c>
      <c r="S89" s="33">
        <f t="shared" si="4"/>
        <v>2</v>
      </c>
      <c r="T89" s="33">
        <f t="shared" si="5"/>
        <v>1</v>
      </c>
    </row>
    <row r="90" spans="1:20" s="25" customFormat="1" ht="42" x14ac:dyDescent="0.15">
      <c r="A90" s="52" t="str">
        <f ca="1">IF(B90&lt;&gt;"",表紙!$AB$1&amp;"-"&amp;"結合-"&amp;TEXT($S$1,"00")&amp;"-"&amp;TEXT(R90,"00")&amp;"-"&amp;TEXT(S90,"00")&amp;"-"&amp;TEXT(T90,"０00"),"")</f>
        <v>点群-結合-01-04-03-001</v>
      </c>
      <c r="B90" s="26" t="s">
        <v>93</v>
      </c>
      <c r="C90" s="26" t="s">
        <v>96</v>
      </c>
      <c r="D90" s="26" t="s">
        <v>471</v>
      </c>
      <c r="E90" s="43" t="s">
        <v>35</v>
      </c>
      <c r="F90" s="43"/>
      <c r="G90" s="34" t="s">
        <v>615</v>
      </c>
      <c r="H90" s="34" t="s">
        <v>199</v>
      </c>
      <c r="I90" s="27">
        <v>44903</v>
      </c>
      <c r="J90" s="28" t="s">
        <v>634</v>
      </c>
      <c r="K90" s="28" t="s">
        <v>635</v>
      </c>
      <c r="L90" s="26"/>
      <c r="M90" s="26"/>
      <c r="R90" s="33">
        <f t="shared" si="3"/>
        <v>4</v>
      </c>
      <c r="S90" s="33">
        <f t="shared" si="4"/>
        <v>3</v>
      </c>
      <c r="T90" s="33">
        <f t="shared" si="5"/>
        <v>1</v>
      </c>
    </row>
    <row r="91" spans="1:20" s="25" customFormat="1" ht="42" x14ac:dyDescent="0.15">
      <c r="A91" s="52" t="str">
        <f ca="1">IF(B91&lt;&gt;"",表紙!$AB$1&amp;"-"&amp;"結合-"&amp;TEXT($S$1,"00")&amp;"-"&amp;TEXT(R91,"00")&amp;"-"&amp;TEXT(S91,"00")&amp;"-"&amp;TEXT(T91,"０00"),"")</f>
        <v>点群-結合-01-04-03-002</v>
      </c>
      <c r="B91" s="26" t="s">
        <v>93</v>
      </c>
      <c r="C91" s="26" t="s">
        <v>96</v>
      </c>
      <c r="D91" s="26" t="s">
        <v>472</v>
      </c>
      <c r="E91" s="43" t="s">
        <v>35</v>
      </c>
      <c r="F91" s="43"/>
      <c r="G91" s="34" t="s">
        <v>616</v>
      </c>
      <c r="H91" s="34" t="s">
        <v>199</v>
      </c>
      <c r="I91" s="27">
        <v>44903</v>
      </c>
      <c r="J91" s="28" t="s">
        <v>634</v>
      </c>
      <c r="K91" s="28" t="s">
        <v>635</v>
      </c>
      <c r="L91" s="26"/>
      <c r="M91" s="26"/>
      <c r="R91" s="33">
        <f t="shared" si="3"/>
        <v>4</v>
      </c>
      <c r="S91" s="33">
        <f t="shared" si="4"/>
        <v>3</v>
      </c>
      <c r="T91" s="33">
        <f t="shared" si="5"/>
        <v>2</v>
      </c>
    </row>
    <row r="92" spans="1:20" s="25" customFormat="1" ht="42" x14ac:dyDescent="0.15">
      <c r="A92" s="52" t="str">
        <f ca="1">IF(B92&lt;&gt;"",表紙!$AB$1&amp;"-"&amp;"結合-"&amp;TEXT($S$1,"00")&amp;"-"&amp;TEXT(R92,"00")&amp;"-"&amp;TEXT(S92,"00")&amp;"-"&amp;TEXT(T92,"０00"),"")</f>
        <v>点群-結合-01-04-03-003</v>
      </c>
      <c r="B92" s="26" t="s">
        <v>93</v>
      </c>
      <c r="C92" s="26" t="s">
        <v>96</v>
      </c>
      <c r="D92" s="26" t="s">
        <v>98</v>
      </c>
      <c r="E92" s="43" t="s">
        <v>35</v>
      </c>
      <c r="F92" s="43"/>
      <c r="G92" s="34" t="s">
        <v>617</v>
      </c>
      <c r="H92" s="34" t="s">
        <v>199</v>
      </c>
      <c r="I92" s="27">
        <v>44904</v>
      </c>
      <c r="J92" s="28" t="s">
        <v>634</v>
      </c>
      <c r="K92" s="28" t="s">
        <v>635</v>
      </c>
      <c r="L92" s="26"/>
      <c r="M92" s="26"/>
      <c r="R92" s="33">
        <f t="shared" si="3"/>
        <v>4</v>
      </c>
      <c r="S92" s="33">
        <f t="shared" si="4"/>
        <v>3</v>
      </c>
      <c r="T92" s="33">
        <f t="shared" si="5"/>
        <v>3</v>
      </c>
    </row>
    <row r="93" spans="1:20" s="25" customFormat="1" ht="42" x14ac:dyDescent="0.15">
      <c r="A93" s="52" t="str">
        <f ca="1">IF(B93&lt;&gt;"",表紙!$AB$1&amp;"-"&amp;"結合-"&amp;TEXT($S$1,"00")&amp;"-"&amp;TEXT(R93,"00")&amp;"-"&amp;TEXT(S93,"00")&amp;"-"&amp;TEXT(T93,"０00"),"")</f>
        <v>点群-結合-01-04-03-004</v>
      </c>
      <c r="B93" s="26" t="s">
        <v>93</v>
      </c>
      <c r="C93" s="26" t="s">
        <v>96</v>
      </c>
      <c r="D93" s="26" t="s">
        <v>470</v>
      </c>
      <c r="E93" s="43" t="s">
        <v>35</v>
      </c>
      <c r="F93" s="43"/>
      <c r="G93" s="34" t="s">
        <v>618</v>
      </c>
      <c r="H93" s="34" t="s">
        <v>199</v>
      </c>
      <c r="I93" s="27">
        <v>44904</v>
      </c>
      <c r="J93" s="28" t="s">
        <v>634</v>
      </c>
      <c r="K93" s="28" t="s">
        <v>635</v>
      </c>
      <c r="L93" s="26"/>
      <c r="M93" s="26"/>
      <c r="R93" s="33">
        <f t="shared" si="3"/>
        <v>4</v>
      </c>
      <c r="S93" s="33">
        <f t="shared" si="4"/>
        <v>3</v>
      </c>
      <c r="T93" s="33">
        <f t="shared" si="5"/>
        <v>4</v>
      </c>
    </row>
    <row r="94" spans="1:20" s="25" customFormat="1" ht="42" x14ac:dyDescent="0.15">
      <c r="A94" s="52" t="str">
        <f ca="1">IF(B94&lt;&gt;"",表紙!$AB$1&amp;"-"&amp;"結合-"&amp;TEXT($S$1,"00")&amp;"-"&amp;TEXT(R94,"00")&amp;"-"&amp;TEXT(S94,"00")&amp;"-"&amp;TEXT(T94,"０00"),"")</f>
        <v>点群-結合-01-04-03-005</v>
      </c>
      <c r="B94" s="26" t="s">
        <v>93</v>
      </c>
      <c r="C94" s="26" t="s">
        <v>96</v>
      </c>
      <c r="D94" s="26" t="s">
        <v>101</v>
      </c>
      <c r="E94" s="43" t="s">
        <v>35</v>
      </c>
      <c r="F94" s="43"/>
      <c r="G94" s="34" t="s">
        <v>619</v>
      </c>
      <c r="H94" s="34" t="s">
        <v>199</v>
      </c>
      <c r="I94" s="27">
        <v>44904</v>
      </c>
      <c r="J94" s="28" t="s">
        <v>634</v>
      </c>
      <c r="K94" s="28" t="s">
        <v>635</v>
      </c>
      <c r="L94" s="26"/>
      <c r="M94" s="26"/>
      <c r="R94" s="33">
        <f t="shared" si="3"/>
        <v>4</v>
      </c>
      <c r="S94" s="33">
        <f t="shared" si="4"/>
        <v>3</v>
      </c>
      <c r="T94" s="33">
        <f t="shared" si="5"/>
        <v>5</v>
      </c>
    </row>
    <row r="95" spans="1:20" s="25" customFormat="1" ht="42" x14ac:dyDescent="0.15">
      <c r="A95" s="52" t="str">
        <f ca="1">IF(B95&lt;&gt;"",表紙!$AB$1&amp;"-"&amp;"結合-"&amp;TEXT($S$1,"00")&amp;"-"&amp;TEXT(R95,"00")&amp;"-"&amp;TEXT(S95,"00")&amp;"-"&amp;TEXT(T95,"０00"),"")</f>
        <v>点群-結合-01-04-03-006</v>
      </c>
      <c r="B95" s="26" t="s">
        <v>93</v>
      </c>
      <c r="C95" s="26" t="s">
        <v>96</v>
      </c>
      <c r="D95" s="26" t="s">
        <v>102</v>
      </c>
      <c r="E95" s="43" t="s">
        <v>35</v>
      </c>
      <c r="F95" s="43"/>
      <c r="G95" s="34" t="s">
        <v>620</v>
      </c>
      <c r="H95" s="34" t="s">
        <v>199</v>
      </c>
      <c r="I95" s="27">
        <v>44904</v>
      </c>
      <c r="J95" s="28" t="s">
        <v>634</v>
      </c>
      <c r="K95" s="28" t="s">
        <v>635</v>
      </c>
      <c r="L95" s="26"/>
      <c r="M95" s="26"/>
      <c r="R95" s="33">
        <f t="shared" si="3"/>
        <v>4</v>
      </c>
      <c r="S95" s="33">
        <f t="shared" si="4"/>
        <v>3</v>
      </c>
      <c r="T95" s="33">
        <f t="shared" si="5"/>
        <v>6</v>
      </c>
    </row>
    <row r="96" spans="1:20" s="25" customFormat="1" ht="42" x14ac:dyDescent="0.15">
      <c r="A96" s="52" t="str">
        <f ca="1">IF(B96&lt;&gt;"",表紙!$AB$1&amp;"-"&amp;"結合-"&amp;TEXT($S$1,"00")&amp;"-"&amp;TEXT(R96,"00")&amp;"-"&amp;TEXT(S96,"00")&amp;"-"&amp;TEXT(T96,"０00"),"")</f>
        <v>点群-結合-01-04-03-007</v>
      </c>
      <c r="B96" s="26" t="s">
        <v>93</v>
      </c>
      <c r="C96" s="26" t="s">
        <v>96</v>
      </c>
      <c r="D96" s="26" t="s">
        <v>103</v>
      </c>
      <c r="E96" s="43" t="s">
        <v>35</v>
      </c>
      <c r="F96" s="43"/>
      <c r="G96" s="34" t="s">
        <v>621</v>
      </c>
      <c r="H96" s="34" t="s">
        <v>199</v>
      </c>
      <c r="I96" s="27">
        <v>44904</v>
      </c>
      <c r="J96" s="28" t="s">
        <v>634</v>
      </c>
      <c r="K96" s="28" t="s">
        <v>635</v>
      </c>
      <c r="L96" s="26"/>
      <c r="M96" s="26"/>
      <c r="R96" s="33">
        <f t="shared" si="3"/>
        <v>4</v>
      </c>
      <c r="S96" s="33">
        <f t="shared" si="4"/>
        <v>3</v>
      </c>
      <c r="T96" s="33">
        <f t="shared" si="5"/>
        <v>7</v>
      </c>
    </row>
    <row r="97" spans="1:20" s="25" customFormat="1" ht="42" x14ac:dyDescent="0.15">
      <c r="A97" s="52" t="str">
        <f ca="1">IF(B97&lt;&gt;"",表紙!$AB$1&amp;"-"&amp;"結合-"&amp;TEXT($S$1,"00")&amp;"-"&amp;TEXT(R97,"00")&amp;"-"&amp;TEXT(S97,"00")&amp;"-"&amp;TEXT(T97,"０00"),"")</f>
        <v>点群-結合-01-04-04-001</v>
      </c>
      <c r="B97" s="26" t="s">
        <v>93</v>
      </c>
      <c r="C97" s="26" t="s">
        <v>54</v>
      </c>
      <c r="D97" s="26" t="s">
        <v>469</v>
      </c>
      <c r="E97" s="43" t="s">
        <v>35</v>
      </c>
      <c r="F97" s="43"/>
      <c r="G97" s="34" t="s">
        <v>628</v>
      </c>
      <c r="H97" s="34" t="s">
        <v>199</v>
      </c>
      <c r="I97" s="27">
        <v>44904</v>
      </c>
      <c r="J97" s="28" t="s">
        <v>634</v>
      </c>
      <c r="K97" s="28" t="s">
        <v>635</v>
      </c>
      <c r="L97" s="26"/>
      <c r="M97" s="26"/>
      <c r="R97" s="33">
        <f t="shared" si="3"/>
        <v>4</v>
      </c>
      <c r="S97" s="33">
        <f t="shared" si="4"/>
        <v>4</v>
      </c>
      <c r="T97" s="33">
        <f t="shared" si="5"/>
        <v>1</v>
      </c>
    </row>
    <row r="98" spans="1:20" s="25" customFormat="1" ht="42" x14ac:dyDescent="0.15">
      <c r="A98" s="52" t="str">
        <f ca="1">IF(B98&lt;&gt;"",表紙!$AB$1&amp;"-"&amp;"結合-"&amp;TEXT($S$1,"00")&amp;"-"&amp;TEXT(R98,"00")&amp;"-"&amp;TEXT(S98,"00")&amp;"-"&amp;TEXT(T98,"０00"),"")</f>
        <v>点群-結合-01-04-04-002</v>
      </c>
      <c r="B98" s="26" t="s">
        <v>93</v>
      </c>
      <c r="C98" s="26" t="s">
        <v>54</v>
      </c>
      <c r="D98" s="26" t="s">
        <v>468</v>
      </c>
      <c r="E98" s="43" t="s">
        <v>35</v>
      </c>
      <c r="F98" s="43"/>
      <c r="G98" s="34" t="s">
        <v>629</v>
      </c>
      <c r="H98" s="34" t="s">
        <v>199</v>
      </c>
      <c r="I98" s="27">
        <v>44904</v>
      </c>
      <c r="J98" s="28" t="s">
        <v>634</v>
      </c>
      <c r="K98" s="28" t="s">
        <v>635</v>
      </c>
      <c r="L98" s="26"/>
      <c r="M98" s="26"/>
      <c r="R98" s="33">
        <f t="shared" si="3"/>
        <v>4</v>
      </c>
      <c r="S98" s="33">
        <f t="shared" si="4"/>
        <v>4</v>
      </c>
      <c r="T98" s="33">
        <f t="shared" si="5"/>
        <v>2</v>
      </c>
    </row>
    <row r="99" spans="1:20" s="25" customFormat="1" ht="42" x14ac:dyDescent="0.15">
      <c r="A99" s="52" t="str">
        <f ca="1">IF(B99&lt;&gt;"",表紙!$AB$1&amp;"-"&amp;"結合-"&amp;TEXT($S$1,"00")&amp;"-"&amp;TEXT(R99,"00")&amp;"-"&amp;TEXT(S99,"00")&amp;"-"&amp;TEXT(T99,"０00"),"")</f>
        <v>点群-結合-01-04-05-001</v>
      </c>
      <c r="B99" s="26" t="s">
        <v>93</v>
      </c>
      <c r="C99" s="26" t="s">
        <v>479</v>
      </c>
      <c r="D99" s="26" t="s">
        <v>475</v>
      </c>
      <c r="E99" s="43" t="s">
        <v>36</v>
      </c>
      <c r="F99" s="43"/>
      <c r="G99" s="34" t="s">
        <v>627</v>
      </c>
      <c r="H99" s="34" t="s">
        <v>390</v>
      </c>
      <c r="I99" s="27">
        <v>44904</v>
      </c>
      <c r="J99" s="28" t="s">
        <v>634</v>
      </c>
      <c r="K99" s="28" t="s">
        <v>635</v>
      </c>
      <c r="L99" s="26"/>
      <c r="M99" s="26"/>
      <c r="R99" s="33">
        <f t="shared" si="3"/>
        <v>4</v>
      </c>
      <c r="S99" s="33">
        <f t="shared" si="4"/>
        <v>5</v>
      </c>
      <c r="T99" s="33">
        <f t="shared" si="5"/>
        <v>1</v>
      </c>
    </row>
    <row r="100" spans="1:20" s="25" customFormat="1" ht="84" x14ac:dyDescent="0.15">
      <c r="A100" s="52" t="str">
        <f ca="1">IF(B100&lt;&gt;"",表紙!$AB$1&amp;"-"&amp;"結合-"&amp;TEXT($S$1,"00")&amp;"-"&amp;TEXT(R100,"00")&amp;"-"&amp;TEXT(S100,"00")&amp;"-"&amp;TEXT(T100,"０00"),"")</f>
        <v>点群-結合-01-04-06-001</v>
      </c>
      <c r="B100" s="26" t="s">
        <v>93</v>
      </c>
      <c r="C100" s="26" t="s">
        <v>480</v>
      </c>
      <c r="D100" s="26" t="s">
        <v>57</v>
      </c>
      <c r="E100" s="43" t="s">
        <v>36</v>
      </c>
      <c r="F100" s="43"/>
      <c r="G100" s="34" t="s">
        <v>630</v>
      </c>
      <c r="H100" s="34" t="s">
        <v>392</v>
      </c>
      <c r="I100" s="27">
        <v>44904</v>
      </c>
      <c r="J100" s="28" t="s">
        <v>393</v>
      </c>
      <c r="K100" s="28" t="s">
        <v>394</v>
      </c>
      <c r="L100" s="26"/>
      <c r="M100" s="26"/>
      <c r="R100" s="33">
        <f t="shared" si="3"/>
        <v>4</v>
      </c>
      <c r="S100" s="33">
        <f t="shared" si="4"/>
        <v>6</v>
      </c>
      <c r="T100" s="33">
        <f t="shared" si="5"/>
        <v>1</v>
      </c>
    </row>
    <row r="101" spans="1:20" s="25" customFormat="1" ht="42" x14ac:dyDescent="0.15">
      <c r="A101" s="52" t="str">
        <f ca="1">IF(B101&lt;&gt;"",表紙!$AB$1&amp;"-"&amp;"結合-"&amp;TEXT($S$1,"00")&amp;"-"&amp;TEXT(R101,"00")&amp;"-"&amp;TEXT(S101,"00")&amp;"-"&amp;TEXT(T101,"０00"),"")</f>
        <v>点群-結合-01-04-07-001</v>
      </c>
      <c r="B101" s="26" t="s">
        <v>93</v>
      </c>
      <c r="C101" s="26" t="s">
        <v>481</v>
      </c>
      <c r="D101" s="26" t="s">
        <v>57</v>
      </c>
      <c r="E101" s="43" t="s">
        <v>36</v>
      </c>
      <c r="F101" s="43"/>
      <c r="G101" s="34" t="s">
        <v>631</v>
      </c>
      <c r="H101" s="34" t="s">
        <v>632</v>
      </c>
      <c r="I101" s="27">
        <v>44904</v>
      </c>
      <c r="J101" s="28" t="s">
        <v>393</v>
      </c>
      <c r="K101" s="28" t="s">
        <v>394</v>
      </c>
      <c r="L101" s="26"/>
      <c r="M101" s="26"/>
      <c r="R101" s="33">
        <f t="shared" si="3"/>
        <v>4</v>
      </c>
      <c r="S101" s="33">
        <f t="shared" si="4"/>
        <v>7</v>
      </c>
      <c r="T101" s="33">
        <f t="shared" si="5"/>
        <v>1</v>
      </c>
    </row>
    <row r="102" spans="1:20" s="25" customFormat="1" ht="13.5" x14ac:dyDescent="0.15">
      <c r="A102" s="52" t="str">
        <f>IF(B102&lt;&gt;"",表紙!$AB$1&amp;"-"&amp;"結合-"&amp;TEXT($S$1,"00")&amp;"-"&amp;TEXT(R102,"00")&amp;"-"&amp;TEXT(S102,"00")&amp;"-"&amp;TEXT(T102,"０00"),"")</f>
        <v/>
      </c>
      <c r="B102" s="26"/>
      <c r="C102" s="26"/>
      <c r="D102" s="26"/>
      <c r="E102" s="43"/>
      <c r="F102" s="43"/>
      <c r="G102" s="34"/>
      <c r="H102" s="34"/>
      <c r="I102" s="27"/>
      <c r="J102" s="28"/>
      <c r="K102" s="28"/>
      <c r="L102" s="26"/>
      <c r="M102" s="26"/>
      <c r="R102" s="33">
        <f t="shared" si="3"/>
        <v>5</v>
      </c>
      <c r="S102" s="33">
        <f t="shared" si="4"/>
        <v>1</v>
      </c>
      <c r="T102" s="33">
        <f t="shared" si="5"/>
        <v>1</v>
      </c>
    </row>
    <row r="105" spans="1:20" x14ac:dyDescent="0.15">
      <c r="I105" s="19"/>
      <c r="J105" s="19"/>
      <c r="K105" s="19"/>
      <c r="L105" s="20"/>
      <c r="M105" s="20"/>
    </row>
    <row r="106" spans="1:20" x14ac:dyDescent="0.15">
      <c r="E106" s="19" t="s">
        <v>37</v>
      </c>
      <c r="F106" s="19">
        <f>COUNTIF($F$3:$F$102,E106)</f>
        <v>0</v>
      </c>
      <c r="I106" s="19"/>
      <c r="J106" s="19"/>
      <c r="K106" s="19"/>
      <c r="L106" s="20"/>
      <c r="M106" s="20"/>
    </row>
    <row r="107" spans="1:20" x14ac:dyDescent="0.15">
      <c r="E107" s="19" t="s">
        <v>38</v>
      </c>
      <c r="F107" s="19">
        <f t="shared" ref="F107:F108" si="6">COUNTIF($F$3:$F$102,E107)</f>
        <v>0</v>
      </c>
      <c r="I107" s="19"/>
      <c r="J107" s="19"/>
      <c r="K107" s="19"/>
      <c r="L107" s="20"/>
      <c r="M107" s="20"/>
    </row>
    <row r="108" spans="1:20" x14ac:dyDescent="0.15">
      <c r="E108" s="19" t="s">
        <v>39</v>
      </c>
      <c r="F108" s="19">
        <f t="shared" si="6"/>
        <v>0</v>
      </c>
    </row>
  </sheetData>
  <autoFilter ref="A2:M102" xr:uid="{00000000-0001-0000-0300-000000000000}"/>
  <phoneticPr fontId="3"/>
  <conditionalFormatting sqref="R3:T102">
    <cfRule type="expression" dxfId="2" priority="77" stopIfTrue="1">
      <formula>IF(#REF!="○",TRUE,FALSE)</formula>
    </cfRule>
  </conditionalFormatting>
  <conditionalFormatting sqref="A3:M102">
    <cfRule type="expression" dxfId="1" priority="69">
      <formula>$M3&lt;&gt;""</formula>
    </cfRule>
  </conditionalFormatting>
  <conditionalFormatting sqref="E3:E102">
    <cfRule type="expression" dxfId="0" priority="68">
      <formula>$M3&lt;&gt;""</formula>
    </cfRule>
  </conditionalFormatting>
  <dataValidations count="2">
    <dataValidation type="list" allowBlank="1" showInputMessage="1" showErrorMessage="1" sqref="E3:E102" xr:uid="{734A6667-EDD6-4F75-90E2-F23A6D7D2932}">
      <formula1>"正常,準正常,異常"</formula1>
    </dataValidation>
    <dataValidation type="list" allowBlank="1" showInputMessage="1" showErrorMessage="1" sqref="F3:F102" xr:uid="{4AAE7993-4B14-4230-B7C9-7F65F3354B67}">
      <formula1>"A,B,C"</formula1>
    </dataValidation>
  </dataValidations>
  <printOptions horizontalCentered="1"/>
  <pageMargins left="0.39370078740157483" right="0.39370078740157483" top="0.39370078740157483" bottom="0.39370078740157483" header="0" footer="0"/>
  <pageSetup paperSize="9" fitToHeight="25" orientation="landscape" r:id="rId1"/>
  <headerFooter alignWithMargins="0"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C95F-6F6A-4A5B-A4D3-E4335914A4B4}">
  <dimension ref="B2:H27"/>
  <sheetViews>
    <sheetView workbookViewId="0">
      <selection activeCell="J11" sqref="J11"/>
    </sheetView>
  </sheetViews>
  <sheetFormatPr defaultRowHeight="13.5" x14ac:dyDescent="0.15"/>
  <cols>
    <col min="1" max="2" width="3.625" style="67" customWidth="1"/>
    <col min="3" max="3" width="6" style="67" customWidth="1"/>
    <col min="4" max="4" width="31.25" style="67" bestFit="1" customWidth="1"/>
    <col min="5" max="5" width="14.5" style="67" customWidth="1"/>
    <col min="6" max="6" width="39.25" style="67" customWidth="1"/>
    <col min="7" max="7" width="19.75" style="67" bestFit="1" customWidth="1"/>
    <col min="8" max="8" width="30.75" style="67" customWidth="1"/>
    <col min="9" max="16384" width="9" style="67"/>
  </cols>
  <sheetData>
    <row r="2" spans="2:8" x14ac:dyDescent="0.15">
      <c r="B2" s="67" t="s">
        <v>520</v>
      </c>
    </row>
    <row r="3" spans="2:8" x14ac:dyDescent="0.15">
      <c r="B3" s="67" t="s">
        <v>198</v>
      </c>
    </row>
    <row r="5" spans="2:8" x14ac:dyDescent="0.15">
      <c r="C5" s="79" t="s">
        <v>118</v>
      </c>
      <c r="D5" s="80" t="s">
        <v>41</v>
      </c>
      <c r="E5" s="79" t="s">
        <v>126</v>
      </c>
      <c r="F5" s="79" t="s">
        <v>42</v>
      </c>
      <c r="G5" s="79" t="s">
        <v>210</v>
      </c>
      <c r="H5" s="81" t="s">
        <v>43</v>
      </c>
    </row>
    <row r="6" spans="2:8" x14ac:dyDescent="0.15">
      <c r="C6" s="73" t="s">
        <v>119</v>
      </c>
      <c r="D6" s="74" t="s">
        <v>44</v>
      </c>
      <c r="E6" s="68" t="s">
        <v>131</v>
      </c>
      <c r="F6" s="68" t="s">
        <v>128</v>
      </c>
      <c r="G6" s="68" t="s">
        <v>48</v>
      </c>
      <c r="H6" s="68" t="s">
        <v>129</v>
      </c>
    </row>
    <row r="7" spans="2:8" x14ac:dyDescent="0.15">
      <c r="C7" s="73" t="s">
        <v>120</v>
      </c>
      <c r="D7" s="75"/>
      <c r="E7" s="68" t="s">
        <v>137</v>
      </c>
      <c r="F7" s="68" t="s">
        <v>133</v>
      </c>
      <c r="G7" s="68" t="s">
        <v>46</v>
      </c>
      <c r="H7" s="68" t="s">
        <v>130</v>
      </c>
    </row>
    <row r="8" spans="2:8" x14ac:dyDescent="0.15">
      <c r="C8" s="73" t="s">
        <v>121</v>
      </c>
      <c r="D8" s="75"/>
      <c r="E8" s="68" t="s">
        <v>138</v>
      </c>
      <c r="F8" s="68" t="s">
        <v>134</v>
      </c>
      <c r="G8" s="68" t="s">
        <v>135</v>
      </c>
      <c r="H8" s="68" t="s">
        <v>136</v>
      </c>
    </row>
    <row r="9" spans="2:8" x14ac:dyDescent="0.15">
      <c r="C9" s="73" t="s">
        <v>122</v>
      </c>
      <c r="D9" s="75"/>
      <c r="E9" s="68" t="s">
        <v>139</v>
      </c>
      <c r="F9" s="68" t="s">
        <v>147</v>
      </c>
      <c r="G9" s="68" t="s">
        <v>50</v>
      </c>
      <c r="H9" s="68" t="s">
        <v>141</v>
      </c>
    </row>
    <row r="10" spans="2:8" x14ac:dyDescent="0.15">
      <c r="C10" s="73" t="s">
        <v>123</v>
      </c>
      <c r="D10" s="75"/>
      <c r="E10" s="68" t="s">
        <v>140</v>
      </c>
      <c r="F10" s="68" t="s">
        <v>142</v>
      </c>
      <c r="G10" s="68" t="s">
        <v>49</v>
      </c>
      <c r="H10" s="68" t="s">
        <v>143</v>
      </c>
    </row>
    <row r="11" spans="2:8" x14ac:dyDescent="0.15">
      <c r="C11" s="73" t="s">
        <v>125</v>
      </c>
      <c r="D11" s="76"/>
      <c r="E11" s="68" t="s">
        <v>127</v>
      </c>
      <c r="F11" s="68" t="s">
        <v>45</v>
      </c>
      <c r="G11" s="68" t="s">
        <v>46</v>
      </c>
      <c r="H11" s="68" t="s">
        <v>47</v>
      </c>
    </row>
    <row r="12" spans="2:8" x14ac:dyDescent="0.15">
      <c r="C12" s="73" t="s">
        <v>124</v>
      </c>
      <c r="D12" s="71" t="s">
        <v>146</v>
      </c>
      <c r="E12" s="71" t="s">
        <v>144</v>
      </c>
      <c r="F12" s="68" t="s">
        <v>450</v>
      </c>
      <c r="G12" s="68" t="s">
        <v>148</v>
      </c>
      <c r="H12" s="68" t="s">
        <v>164</v>
      </c>
    </row>
    <row r="13" spans="2:8" x14ac:dyDescent="0.15">
      <c r="C13" s="73" t="s">
        <v>150</v>
      </c>
      <c r="D13" s="69"/>
      <c r="E13" s="72"/>
      <c r="F13" s="68" t="s">
        <v>162</v>
      </c>
      <c r="G13" s="68" t="s">
        <v>132</v>
      </c>
      <c r="H13" s="68" t="s">
        <v>163</v>
      </c>
    </row>
    <row r="14" spans="2:8" x14ac:dyDescent="0.15">
      <c r="C14" s="73" t="s">
        <v>151</v>
      </c>
      <c r="D14" s="69"/>
      <c r="E14" s="71" t="s">
        <v>145</v>
      </c>
      <c r="F14" s="68" t="s">
        <v>154</v>
      </c>
      <c r="G14" s="68" t="s">
        <v>153</v>
      </c>
      <c r="H14" s="68" t="s">
        <v>156</v>
      </c>
    </row>
    <row r="15" spans="2:8" x14ac:dyDescent="0.15">
      <c r="C15" s="73" t="s">
        <v>152</v>
      </c>
      <c r="D15" s="69"/>
      <c r="E15" s="72"/>
      <c r="F15" s="68" t="s">
        <v>155</v>
      </c>
      <c r="G15" s="68" t="s">
        <v>153</v>
      </c>
      <c r="H15" s="68" t="s">
        <v>157</v>
      </c>
    </row>
    <row r="16" spans="2:8" x14ac:dyDescent="0.15">
      <c r="C16" s="73" t="s">
        <v>165</v>
      </c>
      <c r="D16" s="69"/>
      <c r="E16" s="71" t="s">
        <v>160</v>
      </c>
      <c r="F16" s="68" t="s">
        <v>451</v>
      </c>
      <c r="G16" s="68" t="s">
        <v>148</v>
      </c>
      <c r="H16" s="68" t="s">
        <v>149</v>
      </c>
    </row>
    <row r="17" spans="3:8" x14ac:dyDescent="0.15">
      <c r="C17" s="73" t="s">
        <v>166</v>
      </c>
      <c r="D17" s="72"/>
      <c r="E17" s="72"/>
      <c r="F17" s="68" t="s">
        <v>161</v>
      </c>
      <c r="G17" s="68" t="s">
        <v>132</v>
      </c>
      <c r="H17" s="68" t="s">
        <v>141</v>
      </c>
    </row>
    <row r="18" spans="3:8" x14ac:dyDescent="0.15">
      <c r="C18" s="73" t="s">
        <v>182</v>
      </c>
      <c r="D18" s="71" t="s">
        <v>168</v>
      </c>
      <c r="E18" s="68" t="s">
        <v>170</v>
      </c>
      <c r="F18" s="68" t="s">
        <v>45</v>
      </c>
      <c r="G18" s="68" t="s">
        <v>46</v>
      </c>
      <c r="H18" s="68" t="s">
        <v>47</v>
      </c>
    </row>
    <row r="19" spans="3:8" x14ac:dyDescent="0.15">
      <c r="C19" s="73" t="s">
        <v>183</v>
      </c>
      <c r="D19" s="69"/>
      <c r="E19" s="68" t="s">
        <v>169</v>
      </c>
      <c r="F19" s="68" t="s">
        <v>45</v>
      </c>
      <c r="G19" s="68" t="s">
        <v>46</v>
      </c>
      <c r="H19" s="68" t="s">
        <v>47</v>
      </c>
    </row>
    <row r="20" spans="3:8" x14ac:dyDescent="0.15">
      <c r="C20" s="73" t="s">
        <v>184</v>
      </c>
      <c r="D20" s="69"/>
      <c r="E20" s="68" t="s">
        <v>171</v>
      </c>
      <c r="F20" s="68" t="s">
        <v>128</v>
      </c>
      <c r="G20" s="68" t="s">
        <v>177</v>
      </c>
      <c r="H20" s="68" t="s">
        <v>178</v>
      </c>
    </row>
    <row r="21" spans="3:8" x14ac:dyDescent="0.15">
      <c r="C21" s="73" t="s">
        <v>185</v>
      </c>
      <c r="D21" s="72"/>
      <c r="E21" s="68" t="s">
        <v>172</v>
      </c>
      <c r="F21" s="68" t="s">
        <v>180</v>
      </c>
      <c r="G21" s="68" t="s">
        <v>177</v>
      </c>
      <c r="H21" s="68" t="s">
        <v>181</v>
      </c>
    </row>
    <row r="22" spans="3:8" x14ac:dyDescent="0.15">
      <c r="C22" s="73" t="s">
        <v>188</v>
      </c>
      <c r="D22" s="71" t="s">
        <v>173</v>
      </c>
      <c r="E22" s="71" t="s">
        <v>174</v>
      </c>
      <c r="F22" s="68" t="s">
        <v>186</v>
      </c>
      <c r="G22" s="68" t="s">
        <v>46</v>
      </c>
      <c r="H22" s="68" t="s">
        <v>130</v>
      </c>
    </row>
    <row r="23" spans="3:8" x14ac:dyDescent="0.15">
      <c r="C23" s="73" t="s">
        <v>189</v>
      </c>
      <c r="D23" s="69"/>
      <c r="E23" s="72"/>
      <c r="F23" s="68" t="s">
        <v>187</v>
      </c>
      <c r="G23" s="68" t="s">
        <v>135</v>
      </c>
      <c r="H23" s="68" t="s">
        <v>136</v>
      </c>
    </row>
    <row r="24" spans="3:8" x14ac:dyDescent="0.15">
      <c r="C24" s="73" t="s">
        <v>190</v>
      </c>
      <c r="D24" s="69"/>
      <c r="E24" s="71" t="s">
        <v>192</v>
      </c>
      <c r="F24" s="68" t="s">
        <v>154</v>
      </c>
      <c r="G24" s="68" t="s">
        <v>153</v>
      </c>
      <c r="H24" s="68" t="s">
        <v>156</v>
      </c>
    </row>
    <row r="25" spans="3:8" x14ac:dyDescent="0.15">
      <c r="C25" s="73" t="s">
        <v>191</v>
      </c>
      <c r="D25" s="72"/>
      <c r="E25" s="72"/>
      <c r="F25" s="68" t="s">
        <v>155</v>
      </c>
      <c r="G25" s="68" t="s">
        <v>153</v>
      </c>
      <c r="H25" s="68" t="s">
        <v>157</v>
      </c>
    </row>
    <row r="26" spans="3:8" x14ac:dyDescent="0.15">
      <c r="C26" s="73" t="s">
        <v>195</v>
      </c>
      <c r="D26" s="68" t="s">
        <v>194</v>
      </c>
      <c r="E26" s="77" t="s">
        <v>179</v>
      </c>
      <c r="F26" s="68" t="s">
        <v>142</v>
      </c>
      <c r="G26" s="68" t="s">
        <v>49</v>
      </c>
      <c r="H26" s="68" t="s">
        <v>143</v>
      </c>
    </row>
    <row r="27" spans="3:8" ht="108" x14ac:dyDescent="0.15">
      <c r="C27" s="73" t="s">
        <v>196</v>
      </c>
      <c r="D27" s="68" t="s">
        <v>197</v>
      </c>
      <c r="E27" s="68" t="s">
        <v>200</v>
      </c>
      <c r="F27" s="78" t="s">
        <v>201</v>
      </c>
      <c r="G27" s="68" t="s">
        <v>202</v>
      </c>
      <c r="H27" s="78" t="s">
        <v>203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E8E5E-6932-42F7-B9A9-25633D5D885D}">
  <dimension ref="B2:E190"/>
  <sheetViews>
    <sheetView workbookViewId="0"/>
  </sheetViews>
  <sheetFormatPr defaultRowHeight="13.5" x14ac:dyDescent="0.15"/>
  <cols>
    <col min="1" max="2" width="3.625" style="67" customWidth="1"/>
    <col min="3" max="3" width="30.125" style="67" customWidth="1"/>
    <col min="4" max="4" width="19.125" style="67" customWidth="1"/>
    <col min="5" max="5" width="50.875" style="67" bestFit="1" customWidth="1"/>
    <col min="6" max="16384" width="9" style="67"/>
  </cols>
  <sheetData>
    <row r="2" spans="2:5" x14ac:dyDescent="0.15">
      <c r="B2" s="83" t="s">
        <v>516</v>
      </c>
    </row>
    <row r="3" spans="2:5" x14ac:dyDescent="0.15">
      <c r="B3" s="67" t="s">
        <v>520</v>
      </c>
    </row>
    <row r="4" spans="2:5" x14ac:dyDescent="0.15">
      <c r="B4" s="67" t="s">
        <v>198</v>
      </c>
    </row>
    <row r="6" spans="2:5" x14ac:dyDescent="0.15">
      <c r="B6" s="67" t="s">
        <v>212</v>
      </c>
    </row>
    <row r="8" spans="2:5" x14ac:dyDescent="0.15">
      <c r="C8" s="79" t="s">
        <v>42</v>
      </c>
    </row>
    <row r="9" spans="2:5" x14ac:dyDescent="0.15">
      <c r="C9" s="68" t="s">
        <v>211</v>
      </c>
    </row>
    <row r="11" spans="2:5" x14ac:dyDescent="0.15">
      <c r="C11" s="79" t="s">
        <v>41</v>
      </c>
      <c r="D11" s="79" t="s">
        <v>249</v>
      </c>
      <c r="E11" s="81" t="s">
        <v>43</v>
      </c>
    </row>
    <row r="12" spans="2:5" x14ac:dyDescent="0.15">
      <c r="C12" s="71" t="s">
        <v>51</v>
      </c>
      <c r="D12" s="70">
        <v>0</v>
      </c>
      <c r="E12" s="68" t="s">
        <v>213</v>
      </c>
    </row>
    <row r="13" spans="2:5" x14ac:dyDescent="0.15">
      <c r="C13" s="69"/>
      <c r="D13" s="70">
        <v>1</v>
      </c>
      <c r="E13" s="68" t="s">
        <v>214</v>
      </c>
    </row>
    <row r="14" spans="2:5" x14ac:dyDescent="0.15">
      <c r="C14" s="69"/>
      <c r="D14" s="70">
        <v>2</v>
      </c>
      <c r="E14" s="68" t="s">
        <v>215</v>
      </c>
    </row>
    <row r="15" spans="2:5" x14ac:dyDescent="0.15">
      <c r="C15" s="69"/>
      <c r="D15" s="70">
        <v>3</v>
      </c>
      <c r="E15" s="68" t="s">
        <v>216</v>
      </c>
    </row>
    <row r="16" spans="2:5" x14ac:dyDescent="0.15">
      <c r="C16" s="69"/>
      <c r="D16" s="70">
        <v>4</v>
      </c>
      <c r="E16" s="68" t="s">
        <v>217</v>
      </c>
    </row>
    <row r="17" spans="3:5" x14ac:dyDescent="0.15">
      <c r="C17" s="69"/>
      <c r="D17" s="70">
        <v>5</v>
      </c>
      <c r="E17" s="68" t="s">
        <v>218</v>
      </c>
    </row>
    <row r="18" spans="3:5" x14ac:dyDescent="0.15">
      <c r="C18" s="69"/>
      <c r="D18" s="70">
        <v>6</v>
      </c>
      <c r="E18" s="68" t="s">
        <v>219</v>
      </c>
    </row>
    <row r="19" spans="3:5" x14ac:dyDescent="0.15">
      <c r="C19" s="69"/>
      <c r="D19" s="70">
        <v>7</v>
      </c>
      <c r="E19" s="68" t="s">
        <v>220</v>
      </c>
    </row>
    <row r="20" spans="3:5" x14ac:dyDescent="0.15">
      <c r="C20" s="69"/>
      <c r="D20" s="70">
        <v>8</v>
      </c>
      <c r="E20" s="68" t="s">
        <v>221</v>
      </c>
    </row>
    <row r="21" spans="3:5" x14ac:dyDescent="0.15">
      <c r="C21" s="69"/>
      <c r="D21" s="70">
        <v>9</v>
      </c>
      <c r="E21" s="68" t="s">
        <v>222</v>
      </c>
    </row>
    <row r="22" spans="3:5" x14ac:dyDescent="0.15">
      <c r="C22" s="69"/>
      <c r="D22" s="70">
        <v>10</v>
      </c>
      <c r="E22" s="68" t="s">
        <v>223</v>
      </c>
    </row>
    <row r="23" spans="3:5" x14ac:dyDescent="0.15">
      <c r="C23" s="69"/>
      <c r="D23" s="70">
        <v>11</v>
      </c>
      <c r="E23" s="68" t="s">
        <v>224</v>
      </c>
    </row>
    <row r="24" spans="3:5" x14ac:dyDescent="0.15">
      <c r="C24" s="69"/>
      <c r="D24" s="70">
        <v>12</v>
      </c>
      <c r="E24" s="68" t="s">
        <v>225</v>
      </c>
    </row>
    <row r="25" spans="3:5" x14ac:dyDescent="0.15">
      <c r="C25" s="69"/>
      <c r="D25" s="70">
        <v>13</v>
      </c>
      <c r="E25" s="68" t="s">
        <v>226</v>
      </c>
    </row>
    <row r="26" spans="3:5" x14ac:dyDescent="0.15">
      <c r="C26" s="69"/>
      <c r="D26" s="70">
        <v>14</v>
      </c>
      <c r="E26" s="68" t="s">
        <v>227</v>
      </c>
    </row>
    <row r="27" spans="3:5" x14ac:dyDescent="0.15">
      <c r="C27" s="69"/>
      <c r="D27" s="70">
        <v>15</v>
      </c>
      <c r="E27" s="68" t="s">
        <v>228</v>
      </c>
    </row>
    <row r="28" spans="3:5" x14ac:dyDescent="0.15">
      <c r="C28" s="69"/>
      <c r="D28" s="70">
        <v>16</v>
      </c>
      <c r="E28" s="68" t="s">
        <v>229</v>
      </c>
    </row>
    <row r="29" spans="3:5" x14ac:dyDescent="0.15">
      <c r="C29" s="69"/>
      <c r="D29" s="70">
        <v>17</v>
      </c>
      <c r="E29" s="68" t="s">
        <v>230</v>
      </c>
    </row>
    <row r="30" spans="3:5" x14ac:dyDescent="0.15">
      <c r="C30" s="69"/>
      <c r="D30" s="70">
        <v>18</v>
      </c>
      <c r="E30" s="68" t="s">
        <v>231</v>
      </c>
    </row>
    <row r="31" spans="3:5" x14ac:dyDescent="0.15">
      <c r="C31" s="69"/>
      <c r="D31" s="70">
        <v>19</v>
      </c>
      <c r="E31" s="68" t="s">
        <v>232</v>
      </c>
    </row>
    <row r="32" spans="3:5" x14ac:dyDescent="0.15">
      <c r="C32" s="69"/>
      <c r="D32" s="70">
        <v>20</v>
      </c>
      <c r="E32" s="68" t="s">
        <v>233</v>
      </c>
    </row>
    <row r="33" spans="3:5" x14ac:dyDescent="0.15">
      <c r="C33" s="69"/>
      <c r="D33" s="70">
        <v>21</v>
      </c>
      <c r="E33" s="68" t="s">
        <v>234</v>
      </c>
    </row>
    <row r="34" spans="3:5" x14ac:dyDescent="0.15">
      <c r="C34" s="69"/>
      <c r="D34" s="70">
        <v>22</v>
      </c>
      <c r="E34" s="68" t="s">
        <v>235</v>
      </c>
    </row>
    <row r="35" spans="3:5" x14ac:dyDescent="0.15">
      <c r="C35" s="69"/>
      <c r="D35" s="70">
        <v>23</v>
      </c>
      <c r="E35" s="68" t="s">
        <v>236</v>
      </c>
    </row>
    <row r="36" spans="3:5" x14ac:dyDescent="0.15">
      <c r="C36" s="69"/>
      <c r="D36" s="70">
        <v>24</v>
      </c>
      <c r="E36" s="68" t="s">
        <v>237</v>
      </c>
    </row>
    <row r="37" spans="3:5" x14ac:dyDescent="0.15">
      <c r="C37" s="69"/>
      <c r="D37" s="70">
        <v>25</v>
      </c>
      <c r="E37" s="68" t="s">
        <v>238</v>
      </c>
    </row>
    <row r="38" spans="3:5" x14ac:dyDescent="0.15">
      <c r="C38" s="69"/>
      <c r="D38" s="70">
        <v>26</v>
      </c>
      <c r="E38" s="68" t="s">
        <v>239</v>
      </c>
    </row>
    <row r="39" spans="3:5" x14ac:dyDescent="0.15">
      <c r="C39" s="69"/>
      <c r="D39" s="70">
        <v>27</v>
      </c>
      <c r="E39" s="68" t="s">
        <v>240</v>
      </c>
    </row>
    <row r="40" spans="3:5" x14ac:dyDescent="0.15">
      <c r="C40" s="69"/>
      <c r="D40" s="70">
        <v>28</v>
      </c>
      <c r="E40" s="68" t="s">
        <v>241</v>
      </c>
    </row>
    <row r="41" spans="3:5" x14ac:dyDescent="0.15">
      <c r="C41" s="69"/>
      <c r="D41" s="70">
        <v>29</v>
      </c>
      <c r="E41" s="68" t="s">
        <v>242</v>
      </c>
    </row>
    <row r="42" spans="3:5" x14ac:dyDescent="0.15">
      <c r="C42" s="69"/>
      <c r="D42" s="70">
        <v>30</v>
      </c>
      <c r="E42" s="68" t="s">
        <v>243</v>
      </c>
    </row>
    <row r="43" spans="3:5" x14ac:dyDescent="0.15">
      <c r="C43" s="69"/>
      <c r="D43" s="70">
        <v>31</v>
      </c>
      <c r="E43" s="68" t="s">
        <v>244</v>
      </c>
    </row>
    <row r="44" spans="3:5" x14ac:dyDescent="0.15">
      <c r="C44" s="69"/>
      <c r="D44" s="70">
        <v>32</v>
      </c>
      <c r="E44" s="68" t="s">
        <v>245</v>
      </c>
    </row>
    <row r="45" spans="3:5" x14ac:dyDescent="0.15">
      <c r="C45" s="69"/>
      <c r="D45" s="70">
        <v>33</v>
      </c>
      <c r="E45" s="68" t="s">
        <v>246</v>
      </c>
    </row>
    <row r="46" spans="3:5" x14ac:dyDescent="0.15">
      <c r="C46" s="69"/>
      <c r="D46" s="70">
        <v>34</v>
      </c>
      <c r="E46" s="68" t="s">
        <v>247</v>
      </c>
    </row>
    <row r="47" spans="3:5" x14ac:dyDescent="0.15">
      <c r="C47" s="72"/>
      <c r="D47" s="70">
        <v>35</v>
      </c>
      <c r="E47" s="68" t="s">
        <v>248</v>
      </c>
    </row>
    <row r="52" spans="2:5" x14ac:dyDescent="0.15">
      <c r="B52" s="83" t="s">
        <v>517</v>
      </c>
    </row>
    <row r="53" spans="2:5" x14ac:dyDescent="0.15">
      <c r="B53" s="67" t="s">
        <v>369</v>
      </c>
    </row>
    <row r="54" spans="2:5" x14ac:dyDescent="0.15">
      <c r="B54" s="67" t="s">
        <v>274</v>
      </c>
    </row>
    <row r="56" spans="2:5" x14ac:dyDescent="0.15">
      <c r="B56" s="67" t="s">
        <v>370</v>
      </c>
    </row>
    <row r="58" spans="2:5" x14ac:dyDescent="0.15">
      <c r="C58" s="79" t="s">
        <v>371</v>
      </c>
    </row>
    <row r="59" spans="2:5" x14ac:dyDescent="0.15">
      <c r="C59" s="68" t="s">
        <v>282</v>
      </c>
    </row>
    <row r="61" spans="2:5" x14ac:dyDescent="0.15">
      <c r="C61" s="79" t="s">
        <v>41</v>
      </c>
      <c r="D61" s="79" t="s">
        <v>276</v>
      </c>
      <c r="E61" s="81" t="s">
        <v>368</v>
      </c>
    </row>
    <row r="62" spans="2:5" x14ac:dyDescent="0.15">
      <c r="C62" s="71" t="s">
        <v>51</v>
      </c>
      <c r="D62" s="70" t="s">
        <v>331</v>
      </c>
      <c r="E62" s="68" t="s">
        <v>332</v>
      </c>
    </row>
    <row r="63" spans="2:5" x14ac:dyDescent="0.15">
      <c r="C63" s="69"/>
      <c r="D63" s="70" t="s">
        <v>296</v>
      </c>
      <c r="E63" s="68" t="s">
        <v>333</v>
      </c>
    </row>
    <row r="64" spans="2:5" x14ac:dyDescent="0.15">
      <c r="C64" s="69"/>
      <c r="D64" s="70" t="s">
        <v>297</v>
      </c>
      <c r="E64" s="68" t="s">
        <v>334</v>
      </c>
    </row>
    <row r="65" spans="3:5" x14ac:dyDescent="0.15">
      <c r="C65" s="69"/>
      <c r="D65" s="70" t="s">
        <v>298</v>
      </c>
      <c r="E65" s="68" t="s">
        <v>335</v>
      </c>
    </row>
    <row r="66" spans="3:5" x14ac:dyDescent="0.15">
      <c r="C66" s="69"/>
      <c r="D66" s="70" t="s">
        <v>299</v>
      </c>
      <c r="E66" s="68" t="s">
        <v>336</v>
      </c>
    </row>
    <row r="67" spans="3:5" x14ac:dyDescent="0.15">
      <c r="C67" s="69"/>
      <c r="D67" s="70" t="s">
        <v>300</v>
      </c>
      <c r="E67" s="68" t="s">
        <v>337</v>
      </c>
    </row>
    <row r="68" spans="3:5" x14ac:dyDescent="0.15">
      <c r="C68" s="69"/>
      <c r="D68" s="70" t="s">
        <v>301</v>
      </c>
      <c r="E68" s="68" t="s">
        <v>338</v>
      </c>
    </row>
    <row r="69" spans="3:5" x14ac:dyDescent="0.15">
      <c r="C69" s="69"/>
      <c r="D69" s="70" t="s">
        <v>302</v>
      </c>
      <c r="E69" s="68" t="s">
        <v>339</v>
      </c>
    </row>
    <row r="70" spans="3:5" x14ac:dyDescent="0.15">
      <c r="C70" s="69"/>
      <c r="D70" s="70" t="s">
        <v>303</v>
      </c>
      <c r="E70" s="68" t="s">
        <v>340</v>
      </c>
    </row>
    <row r="71" spans="3:5" x14ac:dyDescent="0.15">
      <c r="C71" s="69"/>
      <c r="D71" s="70" t="s">
        <v>304</v>
      </c>
      <c r="E71" s="68" t="s">
        <v>341</v>
      </c>
    </row>
    <row r="72" spans="3:5" x14ac:dyDescent="0.15">
      <c r="C72" s="69"/>
      <c r="D72" s="70" t="s">
        <v>305</v>
      </c>
      <c r="E72" s="68" t="s">
        <v>342</v>
      </c>
    </row>
    <row r="73" spans="3:5" x14ac:dyDescent="0.15">
      <c r="C73" s="69"/>
      <c r="D73" s="70" t="s">
        <v>306</v>
      </c>
      <c r="E73" s="68" t="s">
        <v>343</v>
      </c>
    </row>
    <row r="74" spans="3:5" x14ac:dyDescent="0.15">
      <c r="C74" s="69"/>
      <c r="D74" s="70" t="s">
        <v>307</v>
      </c>
      <c r="E74" s="68" t="s">
        <v>344</v>
      </c>
    </row>
    <row r="75" spans="3:5" x14ac:dyDescent="0.15">
      <c r="C75" s="69"/>
      <c r="D75" s="70" t="s">
        <v>308</v>
      </c>
      <c r="E75" s="68" t="s">
        <v>345</v>
      </c>
    </row>
    <row r="76" spans="3:5" x14ac:dyDescent="0.15">
      <c r="C76" s="69"/>
      <c r="D76" s="70" t="s">
        <v>309</v>
      </c>
      <c r="E76" s="68" t="s">
        <v>346</v>
      </c>
    </row>
    <row r="77" spans="3:5" x14ac:dyDescent="0.15">
      <c r="C77" s="69"/>
      <c r="D77" s="70" t="s">
        <v>310</v>
      </c>
      <c r="E77" s="68" t="s">
        <v>347</v>
      </c>
    </row>
    <row r="78" spans="3:5" x14ac:dyDescent="0.15">
      <c r="C78" s="69"/>
      <c r="D78" s="70" t="s">
        <v>311</v>
      </c>
      <c r="E78" s="68" t="s">
        <v>348</v>
      </c>
    </row>
    <row r="79" spans="3:5" x14ac:dyDescent="0.15">
      <c r="C79" s="69"/>
      <c r="D79" s="70" t="s">
        <v>312</v>
      </c>
      <c r="E79" s="68" t="s">
        <v>349</v>
      </c>
    </row>
    <row r="80" spans="3:5" x14ac:dyDescent="0.15">
      <c r="C80" s="69"/>
      <c r="D80" s="70" t="s">
        <v>313</v>
      </c>
      <c r="E80" s="68" t="s">
        <v>350</v>
      </c>
    </row>
    <row r="81" spans="3:5" x14ac:dyDescent="0.15">
      <c r="C81" s="69"/>
      <c r="D81" s="70" t="s">
        <v>314</v>
      </c>
      <c r="E81" s="68" t="s">
        <v>351</v>
      </c>
    </row>
    <row r="82" spans="3:5" x14ac:dyDescent="0.15">
      <c r="C82" s="69"/>
      <c r="D82" s="70" t="s">
        <v>315</v>
      </c>
      <c r="E82" s="68" t="s">
        <v>352</v>
      </c>
    </row>
    <row r="83" spans="3:5" x14ac:dyDescent="0.15">
      <c r="C83" s="69"/>
      <c r="D83" s="70" t="s">
        <v>316</v>
      </c>
      <c r="E83" s="68" t="s">
        <v>353</v>
      </c>
    </row>
    <row r="84" spans="3:5" x14ac:dyDescent="0.15">
      <c r="C84" s="69"/>
      <c r="D84" s="70" t="s">
        <v>317</v>
      </c>
      <c r="E84" s="68" t="s">
        <v>354</v>
      </c>
    </row>
    <row r="85" spans="3:5" x14ac:dyDescent="0.15">
      <c r="C85" s="69"/>
      <c r="D85" s="70" t="s">
        <v>318</v>
      </c>
      <c r="E85" s="68" t="s">
        <v>355</v>
      </c>
    </row>
    <row r="86" spans="3:5" x14ac:dyDescent="0.15">
      <c r="C86" s="69"/>
      <c r="D86" s="70" t="s">
        <v>319</v>
      </c>
      <c r="E86" s="68" t="s">
        <v>356</v>
      </c>
    </row>
    <row r="87" spans="3:5" x14ac:dyDescent="0.15">
      <c r="C87" s="69"/>
      <c r="D87" s="70" t="s">
        <v>320</v>
      </c>
      <c r="E87" s="68" t="s">
        <v>357</v>
      </c>
    </row>
    <row r="88" spans="3:5" x14ac:dyDescent="0.15">
      <c r="C88" s="69"/>
      <c r="D88" s="70" t="s">
        <v>321</v>
      </c>
      <c r="E88" s="68" t="s">
        <v>358</v>
      </c>
    </row>
    <row r="89" spans="3:5" x14ac:dyDescent="0.15">
      <c r="C89" s="69"/>
      <c r="D89" s="70" t="s">
        <v>322</v>
      </c>
      <c r="E89" s="68" t="s">
        <v>359</v>
      </c>
    </row>
    <row r="90" spans="3:5" x14ac:dyDescent="0.15">
      <c r="C90" s="69"/>
      <c r="D90" s="70" t="s">
        <v>323</v>
      </c>
      <c r="E90" s="68" t="s">
        <v>360</v>
      </c>
    </row>
    <row r="91" spans="3:5" x14ac:dyDescent="0.15">
      <c r="C91" s="69"/>
      <c r="D91" s="70" t="s">
        <v>324</v>
      </c>
      <c r="E91" s="68" t="s">
        <v>361</v>
      </c>
    </row>
    <row r="92" spans="3:5" x14ac:dyDescent="0.15">
      <c r="C92" s="69"/>
      <c r="D92" s="70" t="s">
        <v>325</v>
      </c>
      <c r="E92" s="68" t="s">
        <v>362</v>
      </c>
    </row>
    <row r="93" spans="3:5" x14ac:dyDescent="0.15">
      <c r="C93" s="69"/>
      <c r="D93" s="70" t="s">
        <v>326</v>
      </c>
      <c r="E93" s="68" t="s">
        <v>363</v>
      </c>
    </row>
    <row r="94" spans="3:5" x14ac:dyDescent="0.15">
      <c r="C94" s="69"/>
      <c r="D94" s="70" t="s">
        <v>327</v>
      </c>
      <c r="E94" s="68" t="s">
        <v>364</v>
      </c>
    </row>
    <row r="95" spans="3:5" x14ac:dyDescent="0.15">
      <c r="C95" s="69"/>
      <c r="D95" s="70" t="s">
        <v>328</v>
      </c>
      <c r="E95" s="68" t="s">
        <v>365</v>
      </c>
    </row>
    <row r="96" spans="3:5" x14ac:dyDescent="0.15">
      <c r="C96" s="69"/>
      <c r="D96" s="70" t="s">
        <v>329</v>
      </c>
      <c r="E96" s="68" t="s">
        <v>366</v>
      </c>
    </row>
    <row r="97" spans="2:5" x14ac:dyDescent="0.15">
      <c r="C97" s="72"/>
      <c r="D97" s="70" t="s">
        <v>330</v>
      </c>
      <c r="E97" s="68" t="s">
        <v>367</v>
      </c>
    </row>
    <row r="101" spans="2:5" x14ac:dyDescent="0.15">
      <c r="B101" s="83" t="s">
        <v>294</v>
      </c>
    </row>
    <row r="102" spans="2:5" x14ac:dyDescent="0.15">
      <c r="B102" s="67" t="s">
        <v>159</v>
      </c>
    </row>
    <row r="103" spans="2:5" x14ac:dyDescent="0.15">
      <c r="B103" s="67" t="s">
        <v>212</v>
      </c>
    </row>
    <row r="105" spans="2:5" x14ac:dyDescent="0.15">
      <c r="C105" s="79" t="s">
        <v>42</v>
      </c>
    </row>
    <row r="106" spans="2:5" x14ac:dyDescent="0.15">
      <c r="C106" s="68" t="s">
        <v>211</v>
      </c>
    </row>
    <row r="108" spans="2:5" x14ac:dyDescent="0.15">
      <c r="C108" s="79" t="s">
        <v>41</v>
      </c>
      <c r="D108" s="79" t="s">
        <v>522</v>
      </c>
      <c r="E108" s="81" t="s">
        <v>43</v>
      </c>
    </row>
    <row r="109" spans="2:5" x14ac:dyDescent="0.15">
      <c r="C109" s="71" t="s">
        <v>51</v>
      </c>
      <c r="D109" s="70">
        <v>0</v>
      </c>
      <c r="E109" s="68" t="s">
        <v>523</v>
      </c>
    </row>
    <row r="110" spans="2:5" x14ac:dyDescent="0.15">
      <c r="C110" s="69"/>
      <c r="D110" s="70">
        <v>1</v>
      </c>
      <c r="E110" s="68" t="s">
        <v>524</v>
      </c>
    </row>
    <row r="111" spans="2:5" x14ac:dyDescent="0.15">
      <c r="C111" s="69"/>
      <c r="D111" s="70">
        <v>2</v>
      </c>
      <c r="E111" s="68" t="s">
        <v>525</v>
      </c>
    </row>
    <row r="112" spans="2:5" x14ac:dyDescent="0.15">
      <c r="C112" s="69"/>
      <c r="D112" s="70">
        <v>3</v>
      </c>
      <c r="E112" s="68" t="s">
        <v>526</v>
      </c>
    </row>
    <row r="113" spans="3:5" x14ac:dyDescent="0.15">
      <c r="C113" s="69"/>
      <c r="D113" s="70">
        <v>4</v>
      </c>
      <c r="E113" s="68" t="s">
        <v>527</v>
      </c>
    </row>
    <row r="114" spans="3:5" x14ac:dyDescent="0.15">
      <c r="C114" s="69"/>
      <c r="D114" s="70">
        <v>5</v>
      </c>
      <c r="E114" s="68" t="s">
        <v>528</v>
      </c>
    </row>
    <row r="115" spans="3:5" x14ac:dyDescent="0.15">
      <c r="C115" s="69"/>
      <c r="D115" s="70">
        <v>6</v>
      </c>
      <c r="E115" s="68" t="s">
        <v>529</v>
      </c>
    </row>
    <row r="116" spans="3:5" x14ac:dyDescent="0.15">
      <c r="C116" s="69"/>
      <c r="D116" s="70">
        <v>7</v>
      </c>
      <c r="E116" s="68" t="s">
        <v>530</v>
      </c>
    </row>
    <row r="117" spans="3:5" x14ac:dyDescent="0.15">
      <c r="C117" s="69"/>
      <c r="D117" s="70">
        <v>8</v>
      </c>
      <c r="E117" s="68" t="s">
        <v>531</v>
      </c>
    </row>
    <row r="118" spans="3:5" x14ac:dyDescent="0.15">
      <c r="C118" s="69"/>
      <c r="D118" s="70">
        <v>9</v>
      </c>
      <c r="E118" s="68" t="s">
        <v>532</v>
      </c>
    </row>
    <row r="119" spans="3:5" x14ac:dyDescent="0.15">
      <c r="C119" s="69"/>
      <c r="D119" s="70">
        <v>10</v>
      </c>
      <c r="E119" s="68" t="s">
        <v>533</v>
      </c>
    </row>
    <row r="120" spans="3:5" x14ac:dyDescent="0.15">
      <c r="C120" s="69"/>
      <c r="D120" s="70">
        <v>11</v>
      </c>
      <c r="E120" s="68" t="s">
        <v>534</v>
      </c>
    </row>
    <row r="121" spans="3:5" x14ac:dyDescent="0.15">
      <c r="C121" s="69"/>
      <c r="D121" s="70">
        <v>12</v>
      </c>
      <c r="E121" s="68" t="s">
        <v>535</v>
      </c>
    </row>
    <row r="122" spans="3:5" x14ac:dyDescent="0.15">
      <c r="C122" s="69"/>
      <c r="D122" s="70">
        <v>13</v>
      </c>
      <c r="E122" s="68" t="s">
        <v>536</v>
      </c>
    </row>
    <row r="123" spans="3:5" x14ac:dyDescent="0.15">
      <c r="C123" s="69"/>
      <c r="D123" s="70">
        <v>14</v>
      </c>
      <c r="E123" s="68" t="s">
        <v>537</v>
      </c>
    </row>
    <row r="124" spans="3:5" x14ac:dyDescent="0.15">
      <c r="C124" s="69"/>
      <c r="D124" s="70">
        <v>15</v>
      </c>
      <c r="E124" s="68" t="s">
        <v>538</v>
      </c>
    </row>
    <row r="125" spans="3:5" x14ac:dyDescent="0.15">
      <c r="C125" s="69"/>
      <c r="D125" s="70">
        <v>16</v>
      </c>
      <c r="E125" s="68" t="s">
        <v>539</v>
      </c>
    </row>
    <row r="126" spans="3:5" x14ac:dyDescent="0.15">
      <c r="C126" s="69"/>
      <c r="D126" s="70">
        <v>17</v>
      </c>
      <c r="E126" s="68" t="s">
        <v>540</v>
      </c>
    </row>
    <row r="127" spans="3:5" x14ac:dyDescent="0.15">
      <c r="C127" s="69"/>
      <c r="D127" s="70">
        <v>18</v>
      </c>
      <c r="E127" s="68" t="s">
        <v>541</v>
      </c>
    </row>
    <row r="128" spans="3:5" x14ac:dyDescent="0.15">
      <c r="C128" s="69"/>
      <c r="D128" s="70">
        <v>19</v>
      </c>
      <c r="E128" s="68" t="s">
        <v>542</v>
      </c>
    </row>
    <row r="129" spans="3:5" x14ac:dyDescent="0.15">
      <c r="C129" s="69"/>
      <c r="D129" s="70">
        <v>20</v>
      </c>
      <c r="E129" s="68" t="s">
        <v>543</v>
      </c>
    </row>
    <row r="130" spans="3:5" x14ac:dyDescent="0.15">
      <c r="C130" s="69"/>
      <c r="D130" s="70">
        <v>21</v>
      </c>
      <c r="E130" s="68" t="s">
        <v>544</v>
      </c>
    </row>
    <row r="131" spans="3:5" x14ac:dyDescent="0.15">
      <c r="C131" s="69"/>
      <c r="D131" s="70">
        <v>22</v>
      </c>
      <c r="E131" s="68" t="s">
        <v>545</v>
      </c>
    </row>
    <row r="132" spans="3:5" x14ac:dyDescent="0.15">
      <c r="C132" s="69"/>
      <c r="D132" s="70">
        <v>23</v>
      </c>
      <c r="E132" s="68" t="s">
        <v>546</v>
      </c>
    </row>
    <row r="133" spans="3:5" x14ac:dyDescent="0.15">
      <c r="C133" s="69"/>
      <c r="D133" s="70">
        <v>24</v>
      </c>
      <c r="E133" s="68" t="s">
        <v>547</v>
      </c>
    </row>
    <row r="134" spans="3:5" x14ac:dyDescent="0.15">
      <c r="C134" s="69"/>
      <c r="D134" s="70">
        <v>25</v>
      </c>
      <c r="E134" s="68" t="s">
        <v>548</v>
      </c>
    </row>
    <row r="135" spans="3:5" x14ac:dyDescent="0.15">
      <c r="C135" s="69"/>
      <c r="D135" s="70">
        <v>26</v>
      </c>
      <c r="E135" s="68" t="s">
        <v>549</v>
      </c>
    </row>
    <row r="136" spans="3:5" x14ac:dyDescent="0.15">
      <c r="C136" s="69"/>
      <c r="D136" s="70">
        <v>27</v>
      </c>
      <c r="E136" s="68" t="s">
        <v>550</v>
      </c>
    </row>
    <row r="137" spans="3:5" x14ac:dyDescent="0.15">
      <c r="C137" s="69"/>
      <c r="D137" s="70">
        <v>28</v>
      </c>
      <c r="E137" s="68" t="s">
        <v>551</v>
      </c>
    </row>
    <row r="138" spans="3:5" x14ac:dyDescent="0.15">
      <c r="C138" s="69"/>
      <c r="D138" s="70">
        <v>29</v>
      </c>
      <c r="E138" s="68" t="s">
        <v>552</v>
      </c>
    </row>
    <row r="139" spans="3:5" x14ac:dyDescent="0.15">
      <c r="C139" s="69"/>
      <c r="D139" s="70">
        <v>30</v>
      </c>
      <c r="E139" s="68" t="s">
        <v>553</v>
      </c>
    </row>
    <row r="140" spans="3:5" x14ac:dyDescent="0.15">
      <c r="C140" s="69"/>
      <c r="D140" s="70">
        <v>31</v>
      </c>
      <c r="E140" s="68" t="s">
        <v>554</v>
      </c>
    </row>
    <row r="141" spans="3:5" x14ac:dyDescent="0.15">
      <c r="C141" s="69"/>
      <c r="D141" s="70">
        <v>32</v>
      </c>
      <c r="E141" s="68" t="s">
        <v>555</v>
      </c>
    </row>
    <row r="142" spans="3:5" x14ac:dyDescent="0.15">
      <c r="C142" s="69"/>
      <c r="D142" s="70">
        <v>33</v>
      </c>
      <c r="E142" s="68" t="s">
        <v>556</v>
      </c>
    </row>
    <row r="143" spans="3:5" x14ac:dyDescent="0.15">
      <c r="C143" s="69"/>
      <c r="D143" s="70">
        <v>34</v>
      </c>
      <c r="E143" s="68" t="s">
        <v>557</v>
      </c>
    </row>
    <row r="144" spans="3:5" x14ac:dyDescent="0.15">
      <c r="C144" s="72"/>
      <c r="D144" s="70">
        <v>35</v>
      </c>
      <c r="E144" s="68" t="s">
        <v>558</v>
      </c>
    </row>
    <row r="148" spans="2:5" x14ac:dyDescent="0.15">
      <c r="B148" s="83" t="s">
        <v>295</v>
      </c>
    </row>
    <row r="149" spans="2:5" x14ac:dyDescent="0.15">
      <c r="B149" s="67" t="s">
        <v>369</v>
      </c>
    </row>
    <row r="151" spans="2:5" x14ac:dyDescent="0.15">
      <c r="C151" s="79" t="s">
        <v>371</v>
      </c>
    </row>
    <row r="152" spans="2:5" x14ac:dyDescent="0.15">
      <c r="C152" s="68" t="s">
        <v>282</v>
      </c>
    </row>
    <row r="154" spans="2:5" x14ac:dyDescent="0.15">
      <c r="C154" s="79" t="s">
        <v>41</v>
      </c>
      <c r="D154" s="79" t="s">
        <v>276</v>
      </c>
      <c r="E154" s="81" t="s">
        <v>368</v>
      </c>
    </row>
    <row r="155" spans="2:5" x14ac:dyDescent="0.15">
      <c r="C155" s="71" t="s">
        <v>51</v>
      </c>
      <c r="D155" s="70" t="s">
        <v>523</v>
      </c>
      <c r="E155" s="68" t="s">
        <v>332</v>
      </c>
    </row>
    <row r="156" spans="2:5" x14ac:dyDescent="0.15">
      <c r="C156" s="69"/>
      <c r="D156" s="70" t="s">
        <v>559</v>
      </c>
      <c r="E156" s="68" t="s">
        <v>333</v>
      </c>
    </row>
    <row r="157" spans="2:5" x14ac:dyDescent="0.15">
      <c r="C157" s="69"/>
      <c r="D157" s="70" t="s">
        <v>560</v>
      </c>
      <c r="E157" s="68" t="s">
        <v>334</v>
      </c>
    </row>
    <row r="158" spans="2:5" x14ac:dyDescent="0.15">
      <c r="C158" s="69"/>
      <c r="D158" s="70" t="s">
        <v>561</v>
      </c>
      <c r="E158" s="68" t="s">
        <v>335</v>
      </c>
    </row>
    <row r="159" spans="2:5" x14ac:dyDescent="0.15">
      <c r="C159" s="69"/>
      <c r="D159" s="70" t="s">
        <v>562</v>
      </c>
      <c r="E159" s="68" t="s">
        <v>336</v>
      </c>
    </row>
    <row r="160" spans="2:5" x14ac:dyDescent="0.15">
      <c r="C160" s="69"/>
      <c r="D160" s="70" t="s">
        <v>563</v>
      </c>
      <c r="E160" s="68" t="s">
        <v>337</v>
      </c>
    </row>
    <row r="161" spans="3:5" x14ac:dyDescent="0.15">
      <c r="C161" s="69"/>
      <c r="D161" s="70" t="s">
        <v>564</v>
      </c>
      <c r="E161" s="68" t="s">
        <v>338</v>
      </c>
    </row>
    <row r="162" spans="3:5" x14ac:dyDescent="0.15">
      <c r="C162" s="69"/>
      <c r="D162" s="70" t="s">
        <v>565</v>
      </c>
      <c r="E162" s="68" t="s">
        <v>339</v>
      </c>
    </row>
    <row r="163" spans="3:5" x14ac:dyDescent="0.15">
      <c r="C163" s="69"/>
      <c r="D163" s="70" t="s">
        <v>566</v>
      </c>
      <c r="E163" s="68" t="s">
        <v>340</v>
      </c>
    </row>
    <row r="164" spans="3:5" x14ac:dyDescent="0.15">
      <c r="C164" s="69"/>
      <c r="D164" s="70" t="s">
        <v>567</v>
      </c>
      <c r="E164" s="68" t="s">
        <v>341</v>
      </c>
    </row>
    <row r="165" spans="3:5" x14ac:dyDescent="0.15">
      <c r="C165" s="69"/>
      <c r="D165" s="70" t="s">
        <v>568</v>
      </c>
      <c r="E165" s="68" t="s">
        <v>342</v>
      </c>
    </row>
    <row r="166" spans="3:5" x14ac:dyDescent="0.15">
      <c r="C166" s="69"/>
      <c r="D166" s="70" t="s">
        <v>569</v>
      </c>
      <c r="E166" s="68" t="s">
        <v>343</v>
      </c>
    </row>
    <row r="167" spans="3:5" x14ac:dyDescent="0.15">
      <c r="C167" s="69"/>
      <c r="D167" s="70" t="s">
        <v>570</v>
      </c>
      <c r="E167" s="68" t="s">
        <v>344</v>
      </c>
    </row>
    <row r="168" spans="3:5" x14ac:dyDescent="0.15">
      <c r="C168" s="69"/>
      <c r="D168" s="70" t="s">
        <v>571</v>
      </c>
      <c r="E168" s="68" t="s">
        <v>345</v>
      </c>
    </row>
    <row r="169" spans="3:5" x14ac:dyDescent="0.15">
      <c r="C169" s="69"/>
      <c r="D169" s="70" t="s">
        <v>572</v>
      </c>
      <c r="E169" s="68" t="s">
        <v>346</v>
      </c>
    </row>
    <row r="170" spans="3:5" x14ac:dyDescent="0.15">
      <c r="C170" s="69"/>
      <c r="D170" s="70" t="s">
        <v>573</v>
      </c>
      <c r="E170" s="68" t="s">
        <v>347</v>
      </c>
    </row>
    <row r="171" spans="3:5" x14ac:dyDescent="0.15">
      <c r="C171" s="69"/>
      <c r="D171" s="70" t="s">
        <v>574</v>
      </c>
      <c r="E171" s="68" t="s">
        <v>348</v>
      </c>
    </row>
    <row r="172" spans="3:5" x14ac:dyDescent="0.15">
      <c r="C172" s="69"/>
      <c r="D172" s="70" t="s">
        <v>575</v>
      </c>
      <c r="E172" s="68" t="s">
        <v>349</v>
      </c>
    </row>
    <row r="173" spans="3:5" x14ac:dyDescent="0.15">
      <c r="C173" s="69"/>
      <c r="D173" s="70" t="s">
        <v>576</v>
      </c>
      <c r="E173" s="68" t="s">
        <v>350</v>
      </c>
    </row>
    <row r="174" spans="3:5" x14ac:dyDescent="0.15">
      <c r="C174" s="69"/>
      <c r="D174" s="70" t="s">
        <v>577</v>
      </c>
      <c r="E174" s="68" t="s">
        <v>351</v>
      </c>
    </row>
    <row r="175" spans="3:5" x14ac:dyDescent="0.15">
      <c r="C175" s="69"/>
      <c r="D175" s="70" t="s">
        <v>578</v>
      </c>
      <c r="E175" s="68" t="s">
        <v>352</v>
      </c>
    </row>
    <row r="176" spans="3:5" x14ac:dyDescent="0.15">
      <c r="C176" s="69"/>
      <c r="D176" s="70" t="s">
        <v>579</v>
      </c>
      <c r="E176" s="68" t="s">
        <v>353</v>
      </c>
    </row>
    <row r="177" spans="3:5" x14ac:dyDescent="0.15">
      <c r="C177" s="69"/>
      <c r="D177" s="70" t="s">
        <v>580</v>
      </c>
      <c r="E177" s="68" t="s">
        <v>354</v>
      </c>
    </row>
    <row r="178" spans="3:5" x14ac:dyDescent="0.15">
      <c r="C178" s="69"/>
      <c r="D178" s="70" t="s">
        <v>581</v>
      </c>
      <c r="E178" s="68" t="s">
        <v>355</v>
      </c>
    </row>
    <row r="179" spans="3:5" x14ac:dyDescent="0.15">
      <c r="C179" s="69"/>
      <c r="D179" s="70" t="s">
        <v>582</v>
      </c>
      <c r="E179" s="68" t="s">
        <v>356</v>
      </c>
    </row>
    <row r="180" spans="3:5" x14ac:dyDescent="0.15">
      <c r="C180" s="69"/>
      <c r="D180" s="70" t="s">
        <v>583</v>
      </c>
      <c r="E180" s="68" t="s">
        <v>357</v>
      </c>
    </row>
    <row r="181" spans="3:5" x14ac:dyDescent="0.15">
      <c r="C181" s="69"/>
      <c r="D181" s="70" t="s">
        <v>584</v>
      </c>
      <c r="E181" s="68" t="s">
        <v>358</v>
      </c>
    </row>
    <row r="182" spans="3:5" x14ac:dyDescent="0.15">
      <c r="C182" s="69"/>
      <c r="D182" s="70" t="s">
        <v>585</v>
      </c>
      <c r="E182" s="68" t="s">
        <v>359</v>
      </c>
    </row>
    <row r="183" spans="3:5" x14ac:dyDescent="0.15">
      <c r="C183" s="69"/>
      <c r="D183" s="70" t="s">
        <v>586</v>
      </c>
      <c r="E183" s="68" t="s">
        <v>360</v>
      </c>
    </row>
    <row r="184" spans="3:5" x14ac:dyDescent="0.15">
      <c r="C184" s="69"/>
      <c r="D184" s="70" t="s">
        <v>587</v>
      </c>
      <c r="E184" s="68" t="s">
        <v>361</v>
      </c>
    </row>
    <row r="185" spans="3:5" x14ac:dyDescent="0.15">
      <c r="C185" s="69"/>
      <c r="D185" s="70" t="s">
        <v>588</v>
      </c>
      <c r="E185" s="68" t="s">
        <v>362</v>
      </c>
    </row>
    <row r="186" spans="3:5" x14ac:dyDescent="0.15">
      <c r="C186" s="69"/>
      <c r="D186" s="70" t="s">
        <v>589</v>
      </c>
      <c r="E186" s="68" t="s">
        <v>363</v>
      </c>
    </row>
    <row r="187" spans="3:5" x14ac:dyDescent="0.15">
      <c r="C187" s="69"/>
      <c r="D187" s="70" t="s">
        <v>590</v>
      </c>
      <c r="E187" s="68" t="s">
        <v>364</v>
      </c>
    </row>
    <row r="188" spans="3:5" x14ac:dyDescent="0.15">
      <c r="C188" s="69"/>
      <c r="D188" s="70" t="s">
        <v>591</v>
      </c>
      <c r="E188" s="68" t="s">
        <v>365</v>
      </c>
    </row>
    <row r="189" spans="3:5" x14ac:dyDescent="0.15">
      <c r="C189" s="69"/>
      <c r="D189" s="70" t="s">
        <v>592</v>
      </c>
      <c r="E189" s="68" t="s">
        <v>366</v>
      </c>
    </row>
    <row r="190" spans="3:5" x14ac:dyDescent="0.15">
      <c r="C190" s="72"/>
      <c r="D190" s="70" t="s">
        <v>593</v>
      </c>
      <c r="E190" s="68" t="s">
        <v>367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4CCE-76E2-453F-B9C6-A0656FAD0780}">
  <dimension ref="B2:D69"/>
  <sheetViews>
    <sheetView workbookViewId="0"/>
  </sheetViews>
  <sheetFormatPr defaultRowHeight="13.5" x14ac:dyDescent="0.15"/>
  <cols>
    <col min="1" max="2" width="3.625" style="67" customWidth="1"/>
    <col min="3" max="3" width="58.5" style="67" bestFit="1" customWidth="1"/>
    <col min="4" max="4" width="34.125" style="67" bestFit="1" customWidth="1"/>
    <col min="5" max="5" width="41.625" style="67" bestFit="1" customWidth="1"/>
    <col min="6" max="16384" width="9" style="67"/>
  </cols>
  <sheetData>
    <row r="2" spans="2:4" x14ac:dyDescent="0.15">
      <c r="B2" s="83" t="s">
        <v>595</v>
      </c>
    </row>
    <row r="3" spans="2:4" x14ac:dyDescent="0.15">
      <c r="B3" s="67" t="s">
        <v>518</v>
      </c>
    </row>
    <row r="4" spans="2:4" x14ac:dyDescent="0.15">
      <c r="C4" s="67" t="s">
        <v>519</v>
      </c>
    </row>
    <row r="6" spans="2:4" x14ac:dyDescent="0.15">
      <c r="B6" s="67" t="s">
        <v>446</v>
      </c>
    </row>
    <row r="7" spans="2:4" x14ac:dyDescent="0.15">
      <c r="C7" s="100" t="s">
        <v>445</v>
      </c>
      <c r="D7" s="103"/>
    </row>
    <row r="8" spans="2:4" x14ac:dyDescent="0.15">
      <c r="C8" s="101" t="s">
        <v>435</v>
      </c>
      <c r="D8" s="102"/>
    </row>
    <row r="10" spans="2:4" x14ac:dyDescent="0.15">
      <c r="B10" s="67" t="s">
        <v>434</v>
      </c>
    </row>
    <row r="11" spans="2:4" x14ac:dyDescent="0.15">
      <c r="B11" s="67" t="s">
        <v>272</v>
      </c>
    </row>
    <row r="13" spans="2:4" x14ac:dyDescent="0.15">
      <c r="C13" s="79" t="s">
        <v>251</v>
      </c>
      <c r="D13" s="79" t="s">
        <v>252</v>
      </c>
    </row>
    <row r="14" spans="2:4" x14ac:dyDescent="0.15">
      <c r="C14" s="68" t="s">
        <v>437</v>
      </c>
      <c r="D14" s="68" t="s">
        <v>253</v>
      </c>
    </row>
    <row r="15" spans="2:4" x14ac:dyDescent="0.15">
      <c r="C15" s="68" t="s">
        <v>438</v>
      </c>
      <c r="D15" s="68" t="s">
        <v>254</v>
      </c>
    </row>
    <row r="16" spans="2:4" x14ac:dyDescent="0.15">
      <c r="C16" s="68" t="s">
        <v>439</v>
      </c>
      <c r="D16" s="68" t="s">
        <v>255</v>
      </c>
    </row>
    <row r="17" spans="2:4" x14ac:dyDescent="0.15">
      <c r="C17" s="68" t="s">
        <v>440</v>
      </c>
      <c r="D17" s="68" t="s">
        <v>256</v>
      </c>
    </row>
    <row r="18" spans="2:4" x14ac:dyDescent="0.15">
      <c r="C18" s="68" t="s">
        <v>441</v>
      </c>
      <c r="D18" s="68" t="s">
        <v>257</v>
      </c>
    </row>
    <row r="19" spans="2:4" x14ac:dyDescent="0.15">
      <c r="C19" s="68" t="s">
        <v>442</v>
      </c>
      <c r="D19" s="68" t="s">
        <v>258</v>
      </c>
    </row>
    <row r="20" spans="2:4" x14ac:dyDescent="0.15">
      <c r="C20" s="68" t="s">
        <v>443</v>
      </c>
      <c r="D20" s="68" t="s">
        <v>259</v>
      </c>
    </row>
    <row r="21" spans="2:4" x14ac:dyDescent="0.15">
      <c r="C21" s="68" t="s">
        <v>444</v>
      </c>
      <c r="D21" s="68" t="s">
        <v>260</v>
      </c>
    </row>
    <row r="22" spans="2:4" x14ac:dyDescent="0.15">
      <c r="C22" s="82"/>
    </row>
    <row r="25" spans="2:4" x14ac:dyDescent="0.15">
      <c r="B25" s="83" t="s">
        <v>449</v>
      </c>
    </row>
    <row r="26" spans="2:4" x14ac:dyDescent="0.15">
      <c r="C26" s="100" t="s">
        <v>447</v>
      </c>
      <c r="D26" s="103"/>
    </row>
    <row r="27" spans="2:4" x14ac:dyDescent="0.15">
      <c r="C27" s="101" t="s">
        <v>448</v>
      </c>
      <c r="D27" s="102"/>
    </row>
    <row r="29" spans="2:4" x14ac:dyDescent="0.15">
      <c r="C29" s="79" t="s">
        <v>251</v>
      </c>
      <c r="D29" s="79" t="s">
        <v>252</v>
      </c>
    </row>
    <row r="30" spans="2:4" x14ac:dyDescent="0.15">
      <c r="C30" s="68" t="s">
        <v>437</v>
      </c>
      <c r="D30" s="68" t="s">
        <v>261</v>
      </c>
    </row>
    <row r="31" spans="2:4" x14ac:dyDescent="0.15">
      <c r="C31" s="68" t="s">
        <v>438</v>
      </c>
      <c r="D31" s="68" t="s">
        <v>262</v>
      </c>
    </row>
    <row r="32" spans="2:4" x14ac:dyDescent="0.15">
      <c r="C32" s="68" t="s">
        <v>439</v>
      </c>
      <c r="D32" s="68" t="s">
        <v>263</v>
      </c>
    </row>
    <row r="33" spans="2:4" x14ac:dyDescent="0.15">
      <c r="C33" s="68" t="s">
        <v>440</v>
      </c>
      <c r="D33" s="68" t="s">
        <v>264</v>
      </c>
    </row>
    <row r="34" spans="2:4" x14ac:dyDescent="0.15">
      <c r="C34" s="68" t="s">
        <v>441</v>
      </c>
      <c r="D34" s="68" t="s">
        <v>265</v>
      </c>
    </row>
    <row r="35" spans="2:4" x14ac:dyDescent="0.15">
      <c r="C35" s="68" t="s">
        <v>442</v>
      </c>
      <c r="D35" s="68" t="s">
        <v>266</v>
      </c>
    </row>
    <row r="36" spans="2:4" x14ac:dyDescent="0.15">
      <c r="C36" s="68" t="s">
        <v>443</v>
      </c>
      <c r="D36" s="68" t="s">
        <v>267</v>
      </c>
    </row>
    <row r="37" spans="2:4" x14ac:dyDescent="0.15">
      <c r="C37" s="68" t="s">
        <v>444</v>
      </c>
      <c r="D37" s="68" t="s">
        <v>268</v>
      </c>
    </row>
    <row r="41" spans="2:4" x14ac:dyDescent="0.15">
      <c r="B41" s="83" t="s">
        <v>596</v>
      </c>
    </row>
    <row r="42" spans="2:4" x14ac:dyDescent="0.15">
      <c r="B42" s="67" t="s">
        <v>271</v>
      </c>
    </row>
    <row r="43" spans="2:4" x14ac:dyDescent="0.15">
      <c r="C43" s="67" t="s">
        <v>250</v>
      </c>
    </row>
    <row r="45" spans="2:4" x14ac:dyDescent="0.15">
      <c r="B45" s="67" t="s">
        <v>446</v>
      </c>
    </row>
    <row r="46" spans="2:4" x14ac:dyDescent="0.15">
      <c r="C46" s="100" t="s">
        <v>445</v>
      </c>
      <c r="D46" s="103"/>
    </row>
    <row r="47" spans="2:4" x14ac:dyDescent="0.15">
      <c r="C47" s="101" t="s">
        <v>600</v>
      </c>
      <c r="D47" s="102"/>
    </row>
    <row r="48" spans="2:4" x14ac:dyDescent="0.15">
      <c r="C48" s="104"/>
      <c r="D48" s="104"/>
    </row>
    <row r="49" spans="2:4" x14ac:dyDescent="0.15">
      <c r="B49" s="67" t="s">
        <v>597</v>
      </c>
    </row>
    <row r="50" spans="2:4" x14ac:dyDescent="0.15">
      <c r="B50" s="67" t="s">
        <v>598</v>
      </c>
    </row>
    <row r="52" spans="2:4" x14ac:dyDescent="0.15">
      <c r="B52" s="83" t="s">
        <v>599</v>
      </c>
    </row>
    <row r="53" spans="2:4" x14ac:dyDescent="0.15">
      <c r="C53" s="100" t="s">
        <v>601</v>
      </c>
      <c r="D53" s="103"/>
    </row>
    <row r="54" spans="2:4" x14ac:dyDescent="0.15">
      <c r="C54" s="101" t="s">
        <v>600</v>
      </c>
      <c r="D54" s="102"/>
    </row>
    <row r="56" spans="2:4" x14ac:dyDescent="0.15">
      <c r="C56" s="79" t="s">
        <v>251</v>
      </c>
      <c r="D56" s="79" t="s">
        <v>252</v>
      </c>
    </row>
    <row r="57" spans="2:4" x14ac:dyDescent="0.15">
      <c r="C57" s="68" t="s">
        <v>437</v>
      </c>
      <c r="D57" s="68" t="s">
        <v>602</v>
      </c>
    </row>
    <row r="58" spans="2:4" x14ac:dyDescent="0.15">
      <c r="C58" s="68" t="s">
        <v>438</v>
      </c>
      <c r="D58" s="68" t="s">
        <v>603</v>
      </c>
    </row>
    <row r="59" spans="2:4" x14ac:dyDescent="0.15">
      <c r="C59" s="68" t="s">
        <v>439</v>
      </c>
      <c r="D59" s="68" t="s">
        <v>604</v>
      </c>
    </row>
    <row r="60" spans="2:4" x14ac:dyDescent="0.15">
      <c r="C60" s="68" t="s">
        <v>440</v>
      </c>
      <c r="D60" s="68" t="s">
        <v>605</v>
      </c>
    </row>
    <row r="61" spans="2:4" x14ac:dyDescent="0.15">
      <c r="C61" s="68" t="s">
        <v>441</v>
      </c>
      <c r="D61" s="68" t="s">
        <v>606</v>
      </c>
    </row>
    <row r="62" spans="2:4" x14ac:dyDescent="0.15">
      <c r="C62" s="68" t="s">
        <v>442</v>
      </c>
      <c r="D62" s="68" t="s">
        <v>607</v>
      </c>
    </row>
    <row r="63" spans="2:4" x14ac:dyDescent="0.15">
      <c r="C63" s="68" t="s">
        <v>443</v>
      </c>
      <c r="D63" s="68" t="s">
        <v>608</v>
      </c>
    </row>
    <row r="64" spans="2:4" x14ac:dyDescent="0.15">
      <c r="C64" s="68" t="s">
        <v>444</v>
      </c>
      <c r="D64" s="68" t="s">
        <v>609</v>
      </c>
    </row>
    <row r="69" spans="2:2" x14ac:dyDescent="0.15">
      <c r="B69" s="67" t="s">
        <v>436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4021-B6B1-4848-BBE8-4DDCA469F6AC}">
  <dimension ref="B2:H18"/>
  <sheetViews>
    <sheetView workbookViewId="0">
      <selection activeCell="H7" sqref="H7"/>
    </sheetView>
  </sheetViews>
  <sheetFormatPr defaultRowHeight="13.5" x14ac:dyDescent="0.15"/>
  <cols>
    <col min="1" max="2" width="3.625" style="67" customWidth="1"/>
    <col min="3" max="3" width="4.5" style="67" bestFit="1" customWidth="1"/>
    <col min="4" max="4" width="56.125" style="67" customWidth="1"/>
    <col min="5" max="5" width="18.75" style="67" bestFit="1" customWidth="1"/>
    <col min="6" max="6" width="37.625" style="67" bestFit="1" customWidth="1"/>
    <col min="7" max="7" width="24.5" style="67" bestFit="1" customWidth="1"/>
    <col min="8" max="8" width="43.125" style="67" bestFit="1" customWidth="1"/>
    <col min="9" max="16384" width="9" style="67"/>
  </cols>
  <sheetData>
    <row r="2" spans="2:8" x14ac:dyDescent="0.15">
      <c r="B2" s="67" t="s">
        <v>521</v>
      </c>
    </row>
    <row r="3" spans="2:8" x14ac:dyDescent="0.15">
      <c r="B3" s="67" t="s">
        <v>274</v>
      </c>
    </row>
    <row r="5" spans="2:8" x14ac:dyDescent="0.15">
      <c r="C5" s="79" t="s">
        <v>4</v>
      </c>
      <c r="D5" s="80" t="s">
        <v>41</v>
      </c>
      <c r="E5" s="79" t="s">
        <v>275</v>
      </c>
      <c r="F5" s="79" t="s">
        <v>276</v>
      </c>
      <c r="G5" s="79" t="s">
        <v>277</v>
      </c>
      <c r="H5" s="81" t="s">
        <v>280</v>
      </c>
    </row>
    <row r="6" spans="2:8" x14ac:dyDescent="0.15">
      <c r="C6" s="73" t="s">
        <v>119</v>
      </c>
      <c r="D6" s="74" t="s">
        <v>106</v>
      </c>
      <c r="E6" s="68" t="s">
        <v>110</v>
      </c>
      <c r="F6" s="68" t="s">
        <v>279</v>
      </c>
      <c r="G6" s="68" t="s">
        <v>282</v>
      </c>
      <c r="H6" s="68" t="s">
        <v>382</v>
      </c>
    </row>
    <row r="7" spans="2:8" ht="108" x14ac:dyDescent="0.15">
      <c r="C7" s="73" t="s">
        <v>120</v>
      </c>
      <c r="D7" s="75"/>
      <c r="E7" s="68" t="s">
        <v>63</v>
      </c>
      <c r="F7" s="68" t="s">
        <v>285</v>
      </c>
      <c r="G7" s="68" t="s">
        <v>293</v>
      </c>
      <c r="H7" s="78" t="s">
        <v>383</v>
      </c>
    </row>
    <row r="8" spans="2:8" x14ac:dyDescent="0.15">
      <c r="C8" s="73" t="s">
        <v>121</v>
      </c>
      <c r="D8" s="75"/>
      <c r="E8" s="68" t="s">
        <v>64</v>
      </c>
      <c r="F8" s="68" t="s">
        <v>286</v>
      </c>
      <c r="G8" s="68" t="s">
        <v>282</v>
      </c>
      <c r="H8" s="68" t="s">
        <v>384</v>
      </c>
    </row>
    <row r="9" spans="2:8" ht="108" x14ac:dyDescent="0.15">
      <c r="C9" s="73" t="s">
        <v>122</v>
      </c>
      <c r="D9" s="75"/>
      <c r="E9" s="68" t="s">
        <v>289</v>
      </c>
      <c r="F9" s="68" t="s">
        <v>287</v>
      </c>
      <c r="G9" s="68" t="s">
        <v>293</v>
      </c>
      <c r="H9" s="78" t="s">
        <v>385</v>
      </c>
    </row>
    <row r="10" spans="2:8" ht="108" x14ac:dyDescent="0.15">
      <c r="C10" s="73" t="s">
        <v>123</v>
      </c>
      <c r="D10" s="75"/>
      <c r="E10" s="68" t="s">
        <v>290</v>
      </c>
      <c r="F10" s="68" t="s">
        <v>288</v>
      </c>
      <c r="G10" s="68" t="s">
        <v>293</v>
      </c>
      <c r="H10" s="78" t="s">
        <v>386</v>
      </c>
    </row>
    <row r="11" spans="2:8" ht="108" x14ac:dyDescent="0.15">
      <c r="C11" s="73" t="s">
        <v>125</v>
      </c>
      <c r="D11" s="76"/>
      <c r="E11" s="68" t="s">
        <v>283</v>
      </c>
      <c r="F11" s="68" t="s">
        <v>291</v>
      </c>
      <c r="G11" s="68" t="s">
        <v>293</v>
      </c>
      <c r="H11" s="78" t="s">
        <v>387</v>
      </c>
    </row>
    <row r="12" spans="2:8" x14ac:dyDescent="0.15">
      <c r="C12" s="73" t="s">
        <v>124</v>
      </c>
      <c r="D12" s="78" t="s">
        <v>372</v>
      </c>
      <c r="E12" s="68" t="s">
        <v>200</v>
      </c>
      <c r="F12" s="68" t="s">
        <v>373</v>
      </c>
      <c r="G12" s="68" t="s">
        <v>282</v>
      </c>
      <c r="H12" s="68" t="s">
        <v>388</v>
      </c>
    </row>
    <row r="13" spans="2:8" ht="108" x14ac:dyDescent="0.15">
      <c r="C13" s="84" t="s">
        <v>374</v>
      </c>
      <c r="D13" s="71" t="s">
        <v>107</v>
      </c>
      <c r="E13" s="72" t="s">
        <v>114</v>
      </c>
      <c r="F13" s="68" t="s">
        <v>288</v>
      </c>
      <c r="G13" s="68" t="s">
        <v>293</v>
      </c>
      <c r="H13" s="78" t="s">
        <v>386</v>
      </c>
    </row>
    <row r="14" spans="2:8" ht="108" x14ac:dyDescent="0.15">
      <c r="C14" s="73" t="s">
        <v>375</v>
      </c>
      <c r="D14" s="72"/>
      <c r="E14" s="68" t="s">
        <v>115</v>
      </c>
      <c r="F14" s="68" t="s">
        <v>288</v>
      </c>
      <c r="G14" s="68" t="s">
        <v>293</v>
      </c>
      <c r="H14" s="78" t="s">
        <v>386</v>
      </c>
    </row>
    <row r="15" spans="2:8" ht="108" x14ac:dyDescent="0.15">
      <c r="C15" s="85" t="s">
        <v>376</v>
      </c>
      <c r="D15" s="86" t="s">
        <v>377</v>
      </c>
      <c r="E15" s="87" t="s">
        <v>114</v>
      </c>
      <c r="F15" s="88" t="s">
        <v>381</v>
      </c>
      <c r="G15" s="88" t="s">
        <v>293</v>
      </c>
      <c r="H15" s="89" t="s">
        <v>389</v>
      </c>
    </row>
    <row r="16" spans="2:8" ht="108" x14ac:dyDescent="0.15">
      <c r="C16" s="85" t="s">
        <v>378</v>
      </c>
      <c r="D16" s="87"/>
      <c r="E16" s="88" t="s">
        <v>115</v>
      </c>
      <c r="F16" s="88" t="s">
        <v>381</v>
      </c>
      <c r="G16" s="88" t="s">
        <v>293</v>
      </c>
      <c r="H16" s="89" t="s">
        <v>389</v>
      </c>
    </row>
    <row r="17" spans="3:8" x14ac:dyDescent="0.15">
      <c r="C17" s="73" t="s">
        <v>379</v>
      </c>
      <c r="D17" s="72" t="s">
        <v>116</v>
      </c>
      <c r="E17" s="72" t="s">
        <v>57</v>
      </c>
      <c r="F17" s="68" t="s">
        <v>278</v>
      </c>
      <c r="G17" s="68" t="s">
        <v>281</v>
      </c>
      <c r="H17" s="68" t="s">
        <v>382</v>
      </c>
    </row>
    <row r="18" spans="3:8" ht="108" x14ac:dyDescent="0.15">
      <c r="C18" s="73" t="s">
        <v>380</v>
      </c>
      <c r="D18" s="68" t="s">
        <v>117</v>
      </c>
      <c r="E18" s="68" t="s">
        <v>57</v>
      </c>
      <c r="F18" s="68" t="s">
        <v>284</v>
      </c>
      <c r="G18" s="68" t="s">
        <v>292</v>
      </c>
      <c r="H18" s="78" t="s">
        <v>383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3</vt:i4>
      </vt:variant>
    </vt:vector>
  </HeadingPairs>
  <TitlesOfParts>
    <vt:vector size="11" baseType="lpstr">
      <vt:lpstr>表紙</vt:lpstr>
      <vt:lpstr>変更履歴</vt:lpstr>
      <vt:lpstr>集計</vt:lpstr>
      <vt:lpstr>1.結合試験</vt:lpstr>
      <vt:lpstr>【別紙1】座標入力パターン</vt:lpstr>
      <vt:lpstr>【別紙2】精度入力パターン</vt:lpstr>
      <vt:lpstr>【別紙3】相互変換</vt:lpstr>
      <vt:lpstr>【別紙4】空間ID入力パターン</vt:lpstr>
      <vt:lpstr>'1.結合試験'!Print_Area</vt:lpstr>
      <vt:lpstr>表紙!Print_Area</vt:lpstr>
      <vt:lpstr>'1.結合試験'!Print_Titles</vt:lpstr>
    </vt:vector>
  </TitlesOfParts>
  <Company>NTTアドバンステクノロジ株式会社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平子 卓弥</dc:creator>
  <cp:lastModifiedBy>藤間 英輔</cp:lastModifiedBy>
  <cp:lastPrinted>2018-07-18T02:26:07Z</cp:lastPrinted>
  <dcterms:created xsi:type="dcterms:W3CDTF">2007-06-29T08:55:04Z</dcterms:created>
  <dcterms:modified xsi:type="dcterms:W3CDTF">2022-12-19T07:19:06Z</dcterms:modified>
</cp:coreProperties>
</file>